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gleAxis_solar" sheetId="1" r:id="rId4"/>
    <sheet state="visible" name="fixedTilt_solar" sheetId="2" r:id="rId5"/>
    <sheet state="visible" name="roofTop_solar" sheetId="3" r:id="rId6"/>
    <sheet state="visible" name="onshore_wind" sheetId="4" r:id="rId7"/>
    <sheet state="visible" name="offshore_wind" sheetId="5" r:id="rId8"/>
    <sheet state="visible" name="h2_storage" sheetId="6" r:id="rId9"/>
    <sheet state="visible" name="electrolyzer" sheetId="7" r:id="rId10"/>
    <sheet state="visible" name="h2_fuelCell" sheetId="8" r:id="rId11"/>
    <sheet state="visible" name="h2_fuelCell_projections" sheetId="9" r:id="rId12"/>
    <sheet state="visible" name="electrolyzer_projections" sheetId="10" r:id="rId13"/>
    <sheet state="visible" name="bess_mw" sheetId="11" r:id="rId14"/>
    <sheet state="visible" name="bess_mwh" sheetId="12" r:id="rId15"/>
    <sheet state="visible" name="phs_mw" sheetId="13" r:id="rId16"/>
    <sheet state="visible" name="phs_mwh" sheetId="14" r:id="rId17"/>
  </sheets>
  <definedNames/>
  <calcPr/>
</workbook>
</file>

<file path=xl/sharedStrings.xml><?xml version="1.0" encoding="utf-8"?>
<sst xmlns="http://schemas.openxmlformats.org/spreadsheetml/2006/main" count="98" uniqueCount="43">
  <si>
    <t>period</t>
  </si>
  <si>
    <t>CEA_low</t>
  </si>
  <si>
    <t>CEA_mid</t>
  </si>
  <si>
    <t>CEA_high</t>
  </si>
  <si>
    <t>ATB_IRENA_low</t>
  </si>
  <si>
    <t>ATB_IRENA_mid</t>
  </si>
  <si>
    <t>ATB_IRENA_high</t>
  </si>
  <si>
    <t>ATB_low</t>
  </si>
  <si>
    <t>ATB_mid</t>
  </si>
  <si>
    <t>ATB_high</t>
  </si>
  <si>
    <t>singleAxis_CETLab_low</t>
  </si>
  <si>
    <t>singleAxis_CETLab_mid</t>
  </si>
  <si>
    <t>singleAxis_CETLab_high</t>
  </si>
  <si>
    <t>CEA_tank_mid</t>
  </si>
  <si>
    <t>US_cavern_low</t>
  </si>
  <si>
    <t>US_cavern_mid</t>
  </si>
  <si>
    <t>US_cavern_high</t>
  </si>
  <si>
    <t>DEA_cavern_low</t>
  </si>
  <si>
    <t>DEA_cavern_mid</t>
  </si>
  <si>
    <t>DEA_cavern_high</t>
  </si>
  <si>
    <t>McPherson_low</t>
  </si>
  <si>
    <t>McPherson_mid</t>
  </si>
  <si>
    <t>McPherson_high</t>
  </si>
  <si>
    <t>Zun_low</t>
  </si>
  <si>
    <t>Zun_mid</t>
  </si>
  <si>
    <t>Zun_high</t>
  </si>
  <si>
    <t>Inci_low</t>
  </si>
  <si>
    <t>Inci_high</t>
  </si>
  <si>
    <t>Link_mid</t>
  </si>
  <si>
    <t>DEO_mid</t>
  </si>
  <si>
    <t>low</t>
  </si>
  <si>
    <t>mid</t>
  </si>
  <si>
    <t>high</t>
  </si>
  <si>
    <t>Deorah_IRENA_low</t>
  </si>
  <si>
    <t>Deorah_IRENA_mid</t>
  </si>
  <si>
    <t>Deorah_IRENA_high</t>
  </si>
  <si>
    <t>Deorah_low</t>
  </si>
  <si>
    <t>Deorah_mid</t>
  </si>
  <si>
    <t>Deorah_high</t>
  </si>
  <si>
    <t>Viswanathan_low</t>
  </si>
  <si>
    <t>Viswanathan_mid</t>
  </si>
  <si>
    <t>Viswanathan_high</t>
  </si>
  <si>
    <t>NREL_mid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</si>
</sst>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theme="1"/>
      <name val="Arial"/>
      <scheme val="minor"/>
    </font>
    <font>
      <sz val="10.0"/>
      <color rgb="FF000000"/>
      <name val="&quot;Aptos Narrow&quot;"/>
    </font>
    <font>
      <sz val="12.0"/>
      <color rgb="FF000000"/>
      <name val="&quot;Aptos Narrow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 shrinkToFit="0" vertical="bottom" wrapText="0"/>
    </xf>
    <xf borderId="0" fillId="0" fontId="2" numFmtId="1" xfId="0" applyAlignment="1" applyFont="1" applyNumberFormat="1">
      <alignment readingOrder="0"/>
    </xf>
    <xf borderId="0" fillId="0" fontId="1" numFmtId="1" xfId="0" applyAlignment="1" applyFont="1" applyNumberFormat="1">
      <alignment horizontal="right" readingOrder="0" shrinkToFit="0" vertical="bottom" wrapText="0"/>
    </xf>
    <xf borderId="0" fillId="0" fontId="3" numFmtId="1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 shrinkToFit="0" vertical="bottom" wrapText="0"/>
    </xf>
    <xf borderId="0" fillId="0" fontId="2" numFmtId="1" xfId="0" applyFont="1" applyNumberFormat="1"/>
    <xf borderId="0" fillId="0" fontId="3" numFmtId="0" xfId="0" applyAlignment="1" applyFont="1">
      <alignment horizontal="right"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0" numFmtId="1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/>
    </xf>
    <xf borderId="0" fillId="2" fontId="0" numFmtId="0" xfId="0" applyAlignment="1" applyFill="1" applyFont="1">
      <alignment horizontal="right" readingOrder="0" vertical="bottom"/>
    </xf>
    <xf borderId="0" fillId="0" fontId="5" numFmtId="0" xfId="0" applyFont="1"/>
    <xf borderId="0" fillId="0" fontId="0" numFmtId="0" xfId="0" applyAlignment="1" applyFont="1">
      <alignment horizontal="right" readingOrder="0" shrinkToFit="0" vertical="bottom" wrapText="0"/>
    </xf>
    <xf borderId="0" fillId="0" fontId="5" numFmtId="1" xfId="0" applyFont="1" applyNumberFormat="1"/>
    <xf borderId="0" fillId="0" fontId="4" numFmtId="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2020.0</v>
      </c>
      <c r="B2" s="4">
        <v>358.249111</v>
      </c>
      <c r="C2" s="4">
        <v>570.502544</v>
      </c>
      <c r="D2" s="4">
        <v>583.104482</v>
      </c>
      <c r="E2" s="4">
        <v>749.285565</v>
      </c>
      <c r="F2" s="4">
        <v>749.285565</v>
      </c>
      <c r="G2" s="4">
        <v>749.285565</v>
      </c>
      <c r="H2" s="4">
        <v>1333.77013</v>
      </c>
      <c r="I2" s="4">
        <v>1333.77013</v>
      </c>
      <c r="J2" s="4">
        <v>1333.77013</v>
      </c>
    </row>
    <row r="3">
      <c r="A3" s="3">
        <v>2030.0</v>
      </c>
      <c r="B3" s="4">
        <v>298.849934</v>
      </c>
      <c r="C3" s="4">
        <v>394.995469</v>
      </c>
      <c r="D3" s="4">
        <v>528.584373</v>
      </c>
      <c r="E3" s="4">
        <v>346.07932</v>
      </c>
      <c r="F3" s="4">
        <v>426.026347</v>
      </c>
      <c r="G3" s="4">
        <v>648.734927</v>
      </c>
      <c r="H3" s="4">
        <v>620.519969</v>
      </c>
      <c r="I3" s="4">
        <v>765.790758</v>
      </c>
      <c r="J3" s="4">
        <v>1150.0941</v>
      </c>
    </row>
    <row r="4">
      <c r="A4" s="3">
        <v>2040.0</v>
      </c>
      <c r="B4" s="4">
        <v>230.654492</v>
      </c>
      <c r="C4" s="4">
        <v>278.455426</v>
      </c>
      <c r="D4" s="4">
        <v>470.258591</v>
      </c>
      <c r="E4" s="4">
        <v>301.150066</v>
      </c>
      <c r="F4" s="4">
        <v>383.494807</v>
      </c>
      <c r="G4" s="4">
        <v>535.958737</v>
      </c>
      <c r="H4" s="4">
        <v>546.971492</v>
      </c>
      <c r="I4" s="4">
        <v>689.705165</v>
      </c>
      <c r="J4" s="4">
        <v>948.407333</v>
      </c>
    </row>
    <row r="5">
      <c r="A5" s="3">
        <v>2050.0</v>
      </c>
      <c r="B5" s="4">
        <v>164.591901</v>
      </c>
      <c r="C5" s="4">
        <v>234.989893</v>
      </c>
      <c r="D5" s="4">
        <v>413.089845</v>
      </c>
      <c r="E5" s="4">
        <v>262.187217</v>
      </c>
      <c r="F5" s="4">
        <v>344.322855</v>
      </c>
      <c r="G5" s="4">
        <v>426.20757</v>
      </c>
      <c r="H5" s="4">
        <v>467.623893</v>
      </c>
      <c r="I5" s="4">
        <v>622.457657</v>
      </c>
      <c r="J5" s="4">
        <v>754.554959</v>
      </c>
    </row>
    <row r="13">
      <c r="K13" s="5"/>
    </row>
    <row r="14">
      <c r="K14" s="5"/>
    </row>
    <row r="15">
      <c r="K15" s="5"/>
    </row>
    <row r="16">
      <c r="K16" s="5"/>
    </row>
    <row r="21">
      <c r="A21" s="5"/>
      <c r="E21" s="5"/>
    </row>
    <row r="22">
      <c r="A22" s="5"/>
      <c r="E22" s="5"/>
    </row>
    <row r="23">
      <c r="A23" s="5"/>
      <c r="E23" s="5"/>
    </row>
    <row r="24">
      <c r="A24" s="5"/>
      <c r="E24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10</v>
      </c>
      <c r="C1" s="6" t="s">
        <v>11</v>
      </c>
      <c r="D1" s="6" t="s">
        <v>12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>
        <v>2020.0</v>
      </c>
      <c r="B2" s="4">
        <v>766.43849</v>
      </c>
      <c r="C2" s="4">
        <v>766.43849</v>
      </c>
      <c r="D2" s="4">
        <v>766.43849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>
        <v>2030.0</v>
      </c>
      <c r="B3" s="4">
        <v>381.654606</v>
      </c>
      <c r="C3" s="4">
        <v>500.058674</v>
      </c>
      <c r="D3" s="4">
        <v>610.189712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>
        <v>2040.0</v>
      </c>
      <c r="B4" s="4">
        <v>303.10972</v>
      </c>
      <c r="C4" s="4">
        <v>401.975357</v>
      </c>
      <c r="D4" s="4">
        <v>504.165852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>
        <v>2050.0</v>
      </c>
      <c r="B5" s="4">
        <v>269.235283</v>
      </c>
      <c r="C5" s="4">
        <v>358.45883</v>
      </c>
      <c r="D5" s="4">
        <v>431.097203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>
        <v>2020.0</v>
      </c>
      <c r="B2" s="4">
        <v>567.933145</v>
      </c>
      <c r="C2" s="4">
        <v>604.897483</v>
      </c>
      <c r="D2" s="4">
        <v>704.9072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>
        <v>2030.0</v>
      </c>
      <c r="B3" s="4">
        <v>283.354387</v>
      </c>
      <c r="C3" s="4">
        <v>430.181712</v>
      </c>
      <c r="D3" s="4">
        <v>635.079195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>
        <v>2040.0</v>
      </c>
      <c r="B4" s="4">
        <v>70.974638</v>
      </c>
      <c r="C4" s="4">
        <v>303.643961</v>
      </c>
      <c r="D4" s="4">
        <v>571.858906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>
        <v>2050.0</v>
      </c>
      <c r="B5" s="4">
        <v>17.082888</v>
      </c>
      <c r="C5" s="4">
        <v>259.25566</v>
      </c>
      <c r="D5" s="4">
        <v>573.355359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6" t="s">
        <v>7</v>
      </c>
      <c r="C1" s="6" t="s">
        <v>8</v>
      </c>
      <c r="D1" s="6" t="s">
        <v>9</v>
      </c>
      <c r="E1" s="8" t="s">
        <v>4</v>
      </c>
      <c r="F1" s="8" t="s">
        <v>5</v>
      </c>
      <c r="G1" s="8" t="s">
        <v>6</v>
      </c>
      <c r="H1" s="6" t="s">
        <v>1</v>
      </c>
      <c r="I1" s="6" t="s">
        <v>2</v>
      </c>
      <c r="J1" s="6" t="s">
        <v>3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>
        <v>2020.0</v>
      </c>
      <c r="B2" s="4">
        <v>1464.27164</v>
      </c>
      <c r="C2" s="4">
        <v>1464.27164</v>
      </c>
      <c r="D2" s="4">
        <v>1464.27164</v>
      </c>
      <c r="E2" s="4">
        <v>1193.64614</v>
      </c>
      <c r="F2" s="4">
        <v>1193.64614</v>
      </c>
      <c r="G2" s="4">
        <v>1193.64614</v>
      </c>
      <c r="H2" s="4">
        <v>826.665941</v>
      </c>
      <c r="I2" s="4">
        <v>928.82625</v>
      </c>
      <c r="J2" s="4">
        <v>1062.72188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>
        <v>2030.0</v>
      </c>
      <c r="B3" s="4">
        <v>704.661261</v>
      </c>
      <c r="C3" s="4">
        <v>959.640855</v>
      </c>
      <c r="D3" s="4">
        <v>1016.58813</v>
      </c>
      <c r="E3" s="4">
        <v>577.497556</v>
      </c>
      <c r="F3" s="4">
        <v>793.822092</v>
      </c>
      <c r="G3" s="4">
        <v>824.398827</v>
      </c>
      <c r="H3" s="4">
        <v>783.196387</v>
      </c>
      <c r="I3" s="4">
        <v>867.15786</v>
      </c>
      <c r="J3" s="4">
        <v>1016.58813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>
        <v>2040.0</v>
      </c>
      <c r="B4" s="4">
        <v>618.329434</v>
      </c>
      <c r="C4" s="4">
        <v>864.356533</v>
      </c>
      <c r="D4" s="4">
        <v>963.069054</v>
      </c>
      <c r="E4" s="4">
        <v>506.177908</v>
      </c>
      <c r="F4" s="4">
        <v>707.155425</v>
      </c>
      <c r="G4" s="4">
        <v>779.042033</v>
      </c>
      <c r="H4" s="4">
        <v>752.068346</v>
      </c>
      <c r="I4" s="4">
        <v>831.054035</v>
      </c>
      <c r="J4" s="4">
        <v>992.198944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>
        <v>2050.0</v>
      </c>
      <c r="B5" s="4">
        <v>527.491974</v>
      </c>
      <c r="C5" s="4">
        <v>759.80628</v>
      </c>
      <c r="D5" s="4">
        <v>901.909996</v>
      </c>
      <c r="E5" s="4">
        <v>428.465298</v>
      </c>
      <c r="F5" s="4">
        <v>627.174976</v>
      </c>
      <c r="G5" s="4">
        <v>745.219941</v>
      </c>
      <c r="H5" s="4">
        <v>727.855472</v>
      </c>
      <c r="I5" s="4">
        <v>818.732111</v>
      </c>
      <c r="J5" s="4">
        <v>962.912336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0"/>
      <c r="B14" s="10"/>
      <c r="C14" s="10"/>
      <c r="D14" s="10"/>
      <c r="E14" s="10"/>
      <c r="F14" s="10"/>
      <c r="G14" s="10"/>
      <c r="H14" s="10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0"/>
      <c r="B15" s="10"/>
      <c r="C15" s="10"/>
      <c r="D15" s="10"/>
      <c r="E15" s="10"/>
      <c r="F15" s="7"/>
      <c r="G15" s="10"/>
      <c r="H15" s="10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0"/>
      <c r="B16" s="10"/>
      <c r="C16" s="10"/>
      <c r="D16" s="10"/>
      <c r="E16" s="10"/>
      <c r="F16" s="7"/>
      <c r="G16" s="10"/>
      <c r="H16" s="10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0"/>
      <c r="B17" s="10"/>
      <c r="C17" s="10"/>
      <c r="D17" s="10"/>
      <c r="E17" s="10"/>
      <c r="F17" s="7"/>
      <c r="G17" s="10"/>
      <c r="H17" s="10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10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10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10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10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10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10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10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10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10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8" t="s">
        <v>7</v>
      </c>
      <c r="C1" s="8" t="s">
        <v>8</v>
      </c>
      <c r="D1" s="8" t="s">
        <v>9</v>
      </c>
      <c r="E1" s="8" t="s">
        <v>4</v>
      </c>
      <c r="F1" s="8" t="s">
        <v>5</v>
      </c>
      <c r="G1" s="8" t="s">
        <v>6</v>
      </c>
      <c r="H1" s="6" t="s">
        <v>2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>
        <v>2020.0</v>
      </c>
      <c r="B2" s="4">
        <v>3588.18183</v>
      </c>
      <c r="C2" s="4">
        <v>3861.76423</v>
      </c>
      <c r="D2" s="4">
        <v>4402.38964</v>
      </c>
      <c r="E2" s="4">
        <v>2634.28259</v>
      </c>
      <c r="F2" s="4">
        <v>2821.4861</v>
      </c>
      <c r="G2" s="4">
        <v>3163.15929</v>
      </c>
      <c r="H2" s="4">
        <v>3163.15929</v>
      </c>
      <c r="I2" s="10"/>
      <c r="J2" s="7"/>
      <c r="K2" s="10"/>
      <c r="L2" s="7"/>
      <c r="M2" s="10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>
        <v>2030.0</v>
      </c>
      <c r="B3" s="4">
        <v>2789.52813</v>
      </c>
      <c r="C3" s="4">
        <v>3113.50437</v>
      </c>
      <c r="D3" s="4">
        <v>3816.24721</v>
      </c>
      <c r="E3" s="4">
        <v>2018.58365</v>
      </c>
      <c r="F3" s="4">
        <v>2249.8633</v>
      </c>
      <c r="G3" s="4">
        <v>2707.21326</v>
      </c>
      <c r="H3" s="4">
        <v>1923.892</v>
      </c>
      <c r="I3" s="4"/>
      <c r="J3" s="9"/>
      <c r="K3" s="4"/>
      <c r="L3" s="9"/>
      <c r="M3" s="4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3">
        <v>2040.0</v>
      </c>
      <c r="B4" s="4">
        <v>2471.27847</v>
      </c>
      <c r="C4" s="4">
        <v>2824.58953</v>
      </c>
      <c r="D4" s="4">
        <v>3593.64978</v>
      </c>
      <c r="E4" s="4">
        <v>1813.83097</v>
      </c>
      <c r="F4" s="4">
        <v>2054.16229</v>
      </c>
      <c r="G4" s="4">
        <v>2571.14251</v>
      </c>
      <c r="H4" s="4">
        <v>1754.3485</v>
      </c>
      <c r="I4" s="4"/>
      <c r="J4" s="9"/>
      <c r="K4" s="4"/>
      <c r="L4" s="9"/>
      <c r="M4" s="4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3">
        <v>2050.0</v>
      </c>
      <c r="B5" s="4">
        <v>2287.17839</v>
      </c>
      <c r="C5" s="4">
        <v>2641.63477</v>
      </c>
      <c r="D5" s="4">
        <v>3474.79569</v>
      </c>
      <c r="E5" s="4">
        <v>1665.34648</v>
      </c>
      <c r="F5" s="4">
        <v>1917.094</v>
      </c>
      <c r="G5" s="4">
        <v>2470.05926</v>
      </c>
      <c r="H5" s="4">
        <v>1662.57555</v>
      </c>
      <c r="I5" s="4"/>
      <c r="J5" s="9"/>
      <c r="K5" s="4"/>
      <c r="L5" s="9"/>
      <c r="M5" s="4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4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4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4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4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5" max="5" width="16.13"/>
    <col customWidth="1" min="6" max="6" width="14.38"/>
  </cols>
  <sheetData>
    <row r="1">
      <c r="A1" s="11" t="s">
        <v>0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2">
        <v>2020.0</v>
      </c>
      <c r="B2" s="2">
        <v>74.0</v>
      </c>
      <c r="C2" s="13">
        <v>2.0</v>
      </c>
      <c r="D2" s="6">
        <v>3.66</v>
      </c>
      <c r="E2" s="13">
        <v>10.0</v>
      </c>
      <c r="F2" s="6">
        <f t="shared" ref="F2:H2" si="1">0.0031902*1000/0.89</f>
        <v>3.584494382</v>
      </c>
      <c r="G2" s="6">
        <f t="shared" si="1"/>
        <v>3.584494382</v>
      </c>
      <c r="H2" s="6">
        <f t="shared" si="1"/>
        <v>3.584494382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2">
        <v>2030.0</v>
      </c>
      <c r="B3" s="12">
        <v>65.3131391</v>
      </c>
      <c r="C3" s="13">
        <v>2.0</v>
      </c>
      <c r="D3" s="6">
        <v>3.09</v>
      </c>
      <c r="E3" s="13">
        <v>8.0</v>
      </c>
      <c r="F3" s="7">
        <f t="shared" ref="F3:F4" si="2">G3*0.83</f>
        <v>1.986404494</v>
      </c>
      <c r="G3" s="14">
        <f>1000*0.00213/0.89</f>
        <v>2.393258427</v>
      </c>
      <c r="H3" s="7">
        <f>G3/0.75</f>
        <v>3.191011236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2">
        <v>2040.0</v>
      </c>
      <c r="B4" s="12">
        <v>40.7905526</v>
      </c>
      <c r="C4" s="13">
        <v>2.0</v>
      </c>
      <c r="D4" s="7">
        <f t="shared" ref="D4:D5" si="3">D3*D3/D2</f>
        <v>2.608770492</v>
      </c>
      <c r="E4" s="15">
        <f t="shared" ref="E4:E5" si="4">E3/(E2/E3)</f>
        <v>6.4</v>
      </c>
      <c r="F4" s="7">
        <f t="shared" si="2"/>
        <v>1.487565169</v>
      </c>
      <c r="G4" s="6">
        <f>1000*0.0015951/0.89</f>
        <v>1.792247191</v>
      </c>
      <c r="H4" s="7">
        <f>G4/0.67</f>
        <v>2.674995807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2">
        <v>2050.0</v>
      </c>
      <c r="B5" s="12">
        <v>30.1917948</v>
      </c>
      <c r="C5" s="13">
        <v>2.0</v>
      </c>
      <c r="D5" s="7">
        <f t="shared" si="3"/>
        <v>2.202486563</v>
      </c>
      <c r="E5" s="15">
        <f t="shared" si="4"/>
        <v>5.12</v>
      </c>
      <c r="F5" s="14">
        <f>1000*0.00106/0.89</f>
        <v>1.191011236</v>
      </c>
      <c r="G5" s="6">
        <f>1000*0.00127608/0.89</f>
        <v>1.433797753</v>
      </c>
      <c r="H5" s="6">
        <f>1000*0.00191412/0.89</f>
        <v>2.150696629</v>
      </c>
      <c r="I5" s="1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D6" s="7"/>
      <c r="E6" s="7"/>
      <c r="F6" s="7"/>
      <c r="H6" s="7"/>
      <c r="I6" s="1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D7" s="7"/>
      <c r="E7" s="14"/>
      <c r="F7" s="7"/>
      <c r="H7" s="7"/>
      <c r="I7" s="1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D8" s="7"/>
      <c r="E8" s="7"/>
      <c r="F8" s="7"/>
      <c r="H8" s="7"/>
      <c r="I8" s="1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D9" s="7"/>
      <c r="E9" s="7"/>
      <c r="F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D10" s="7"/>
      <c r="E10" s="7"/>
      <c r="F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D11" s="7"/>
      <c r="E11" s="7"/>
      <c r="F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D12" s="7"/>
      <c r="E12" s="7"/>
      <c r="F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D13" s="7"/>
      <c r="E13" s="7"/>
      <c r="F13" s="1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D14" s="7"/>
      <c r="E14" s="7"/>
      <c r="F14" s="16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D15" s="7"/>
      <c r="E15" s="7"/>
      <c r="F15" s="16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D16" s="7"/>
      <c r="E16" s="7"/>
      <c r="F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D17" s="7"/>
      <c r="E17" s="7"/>
      <c r="F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D18" s="7"/>
      <c r="E18" s="7"/>
      <c r="F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D19" s="7"/>
      <c r="E19" s="7"/>
      <c r="F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D20" s="7"/>
      <c r="E20" s="7"/>
      <c r="F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D21" s="7"/>
      <c r="E21" s="7"/>
      <c r="F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D22" s="7"/>
      <c r="E22" s="7"/>
      <c r="F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D23" s="7"/>
      <c r="E23" s="7"/>
      <c r="F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D24" s="7"/>
      <c r="E24" s="7"/>
      <c r="F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D25" s="7"/>
      <c r="E25" s="7"/>
      <c r="F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D26" s="7"/>
      <c r="E26" s="7"/>
      <c r="F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D27" s="7"/>
      <c r="E27" s="7"/>
      <c r="F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D28" s="7"/>
      <c r="E28" s="7"/>
      <c r="F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D29" s="7"/>
      <c r="E29" s="7"/>
      <c r="F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D30" s="7"/>
      <c r="E30" s="7"/>
      <c r="F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D31" s="7"/>
      <c r="E31" s="7"/>
      <c r="F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D32" s="7"/>
      <c r="E32" s="7"/>
      <c r="F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D33" s="7"/>
      <c r="E33" s="7"/>
      <c r="F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D34" s="7"/>
      <c r="E34" s="7"/>
      <c r="F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D35" s="7"/>
      <c r="E35" s="7"/>
      <c r="F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D36" s="7"/>
      <c r="E36" s="7"/>
      <c r="F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D37" s="7"/>
      <c r="E37" s="7"/>
      <c r="F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D38" s="7"/>
      <c r="E38" s="7"/>
      <c r="F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D39" s="7"/>
      <c r="E39" s="7"/>
      <c r="F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D40" s="7"/>
      <c r="E40" s="7"/>
      <c r="F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D41" s="7"/>
      <c r="E41" s="7"/>
      <c r="F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D42" s="7"/>
      <c r="E42" s="7"/>
      <c r="F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D43" s="7"/>
      <c r="E43" s="7"/>
      <c r="F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D44" s="7"/>
      <c r="E44" s="7"/>
      <c r="F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D45" s="7"/>
      <c r="E45" s="7"/>
      <c r="F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D46" s="7"/>
      <c r="E46" s="7"/>
      <c r="F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D47" s="7"/>
      <c r="E47" s="7"/>
      <c r="F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D48" s="7"/>
      <c r="E48" s="7"/>
      <c r="F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D49" s="7"/>
      <c r="E49" s="7"/>
      <c r="F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D50" s="7"/>
      <c r="E50" s="7"/>
      <c r="F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D51" s="7"/>
      <c r="E51" s="7"/>
      <c r="F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D52" s="7"/>
      <c r="E52" s="7"/>
      <c r="F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D53" s="7"/>
      <c r="E53" s="7"/>
      <c r="F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D54" s="7"/>
      <c r="E54" s="7"/>
      <c r="F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D55" s="7"/>
      <c r="E55" s="7"/>
      <c r="F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D56" s="7"/>
      <c r="E56" s="7"/>
      <c r="F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D57" s="7"/>
      <c r="E57" s="7"/>
      <c r="F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D58" s="7"/>
      <c r="E58" s="7"/>
      <c r="F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D59" s="7"/>
      <c r="E59" s="7"/>
      <c r="F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D60" s="7"/>
      <c r="E60" s="7"/>
      <c r="F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D61" s="7"/>
      <c r="E61" s="7"/>
      <c r="F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D62" s="7"/>
      <c r="E62" s="7"/>
      <c r="F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D63" s="7"/>
      <c r="E63" s="7"/>
      <c r="F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D64" s="7"/>
      <c r="E64" s="7"/>
      <c r="F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D65" s="7"/>
      <c r="E65" s="7"/>
      <c r="F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D66" s="7"/>
      <c r="E66" s="7"/>
      <c r="F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D67" s="7"/>
      <c r="E67" s="7"/>
      <c r="F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D68" s="7"/>
      <c r="E68" s="7"/>
      <c r="F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D69" s="7"/>
      <c r="E69" s="7"/>
      <c r="F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D70" s="7"/>
      <c r="E70" s="7"/>
      <c r="F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D71" s="7"/>
      <c r="E71" s="7"/>
      <c r="F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D72" s="7"/>
      <c r="E72" s="7"/>
      <c r="F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D73" s="7"/>
      <c r="E73" s="7"/>
      <c r="F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D74" s="7"/>
      <c r="E74" s="7"/>
      <c r="F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D75" s="7"/>
      <c r="E75" s="7"/>
      <c r="F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D76" s="7"/>
      <c r="E76" s="7"/>
      <c r="F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D77" s="7"/>
      <c r="E77" s="7"/>
      <c r="F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D78" s="7"/>
      <c r="E78" s="7"/>
      <c r="F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D79" s="7"/>
      <c r="E79" s="7"/>
      <c r="F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D80" s="7"/>
      <c r="E80" s="7"/>
      <c r="F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D81" s="7"/>
      <c r="E81" s="7"/>
      <c r="F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D82" s="7"/>
      <c r="E82" s="7"/>
      <c r="F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D83" s="7"/>
      <c r="E83" s="7"/>
      <c r="F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D84" s="7"/>
      <c r="E84" s="7"/>
      <c r="F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D85" s="7"/>
      <c r="E85" s="7"/>
      <c r="F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D86" s="7"/>
      <c r="E86" s="7"/>
      <c r="F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D87" s="7"/>
      <c r="E87" s="7"/>
      <c r="F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D88" s="7"/>
      <c r="E88" s="7"/>
      <c r="F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D89" s="7"/>
      <c r="E89" s="7"/>
      <c r="F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D90" s="7"/>
      <c r="E90" s="7"/>
      <c r="F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D91" s="7"/>
      <c r="E91" s="7"/>
      <c r="F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D92" s="7"/>
      <c r="E92" s="7"/>
      <c r="F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D93" s="7"/>
      <c r="E93" s="7"/>
      <c r="F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D94" s="7"/>
      <c r="E94" s="7"/>
      <c r="F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D95" s="7"/>
      <c r="E95" s="7"/>
      <c r="F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D96" s="7"/>
      <c r="E96" s="7"/>
      <c r="F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D97" s="7"/>
      <c r="E97" s="7"/>
      <c r="F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D98" s="7"/>
      <c r="E98" s="7"/>
      <c r="F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D99" s="7"/>
      <c r="E99" s="7"/>
      <c r="F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D100" s="7"/>
      <c r="E100" s="7"/>
      <c r="F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D101" s="7"/>
      <c r="E101" s="7"/>
      <c r="F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D102" s="7"/>
      <c r="E102" s="7"/>
      <c r="F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D103" s="7"/>
      <c r="E103" s="7"/>
      <c r="F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D104" s="7"/>
      <c r="E104" s="7"/>
      <c r="F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D105" s="7"/>
      <c r="E105" s="7"/>
      <c r="F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D106" s="7"/>
      <c r="E106" s="7"/>
      <c r="F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D107" s="7"/>
      <c r="E107" s="7"/>
      <c r="F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D108" s="7"/>
      <c r="E108" s="7"/>
      <c r="F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D109" s="7"/>
      <c r="E109" s="7"/>
      <c r="F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D110" s="7"/>
      <c r="E110" s="7"/>
      <c r="F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D111" s="7"/>
      <c r="E111" s="7"/>
      <c r="F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D112" s="7"/>
      <c r="E112" s="7"/>
      <c r="F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D113" s="7"/>
      <c r="E113" s="7"/>
      <c r="F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D114" s="7"/>
      <c r="E114" s="7"/>
      <c r="F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D115" s="7"/>
      <c r="E115" s="7"/>
      <c r="F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D116" s="7"/>
      <c r="E116" s="7"/>
      <c r="F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D117" s="7"/>
      <c r="E117" s="7"/>
      <c r="F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D118" s="7"/>
      <c r="E118" s="7"/>
      <c r="F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D119" s="7"/>
      <c r="E119" s="7"/>
      <c r="F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D120" s="7"/>
      <c r="E120" s="7"/>
      <c r="F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D121" s="7"/>
      <c r="E121" s="7"/>
      <c r="F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D122" s="7"/>
      <c r="E122" s="7"/>
      <c r="F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D123" s="7"/>
      <c r="E123" s="7"/>
      <c r="F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D124" s="7"/>
      <c r="E124" s="7"/>
      <c r="F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D125" s="7"/>
      <c r="E125" s="7"/>
      <c r="F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D126" s="7"/>
      <c r="E126" s="7"/>
      <c r="F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D127" s="7"/>
      <c r="E127" s="7"/>
      <c r="F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D128" s="7"/>
      <c r="E128" s="7"/>
      <c r="F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D129" s="7"/>
      <c r="E129" s="7"/>
      <c r="F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D130" s="7"/>
      <c r="E130" s="7"/>
      <c r="F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D131" s="7"/>
      <c r="E131" s="7"/>
      <c r="F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D132" s="7"/>
      <c r="E132" s="7"/>
      <c r="F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D133" s="7"/>
      <c r="E133" s="7"/>
      <c r="F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D134" s="7"/>
      <c r="E134" s="7"/>
      <c r="F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D135" s="7"/>
      <c r="E135" s="7"/>
      <c r="F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D136" s="7"/>
      <c r="E136" s="7"/>
      <c r="F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D137" s="7"/>
      <c r="E137" s="7"/>
      <c r="F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D138" s="7"/>
      <c r="E138" s="7"/>
      <c r="F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D139" s="7"/>
      <c r="E139" s="7"/>
      <c r="F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D140" s="7"/>
      <c r="E140" s="7"/>
      <c r="F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D141" s="7"/>
      <c r="E141" s="7"/>
      <c r="F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D142" s="7"/>
      <c r="E142" s="7"/>
      <c r="F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D143" s="7"/>
      <c r="E143" s="7"/>
      <c r="F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D144" s="7"/>
      <c r="E144" s="7"/>
      <c r="F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D145" s="7"/>
      <c r="E145" s="7"/>
      <c r="F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D146" s="7"/>
      <c r="E146" s="7"/>
      <c r="F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D147" s="7"/>
      <c r="E147" s="7"/>
      <c r="F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D148" s="7"/>
      <c r="E148" s="7"/>
      <c r="F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D149" s="7"/>
      <c r="E149" s="7"/>
      <c r="F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D150" s="7"/>
      <c r="E150" s="7"/>
      <c r="F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D151" s="7"/>
      <c r="E151" s="7"/>
      <c r="F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D152" s="7"/>
      <c r="E152" s="7"/>
      <c r="F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D153" s="7"/>
      <c r="E153" s="7"/>
      <c r="F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D154" s="7"/>
      <c r="E154" s="7"/>
      <c r="F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D155" s="7"/>
      <c r="E155" s="7"/>
      <c r="F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D156" s="7"/>
      <c r="E156" s="7"/>
      <c r="F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D157" s="7"/>
      <c r="E157" s="7"/>
      <c r="F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D158" s="7"/>
      <c r="E158" s="7"/>
      <c r="F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D159" s="7"/>
      <c r="E159" s="7"/>
      <c r="F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D160" s="7"/>
      <c r="E160" s="7"/>
      <c r="F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D161" s="7"/>
      <c r="E161" s="7"/>
      <c r="F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D162" s="7"/>
      <c r="E162" s="7"/>
      <c r="F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D163" s="7"/>
      <c r="E163" s="7"/>
      <c r="F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D164" s="7"/>
      <c r="E164" s="7"/>
      <c r="F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D165" s="7"/>
      <c r="E165" s="7"/>
      <c r="F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D166" s="7"/>
      <c r="E166" s="7"/>
      <c r="F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D167" s="7"/>
      <c r="E167" s="7"/>
      <c r="F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D168" s="7"/>
      <c r="E168" s="7"/>
      <c r="F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D169" s="7"/>
      <c r="E169" s="7"/>
      <c r="F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D170" s="7"/>
      <c r="E170" s="7"/>
      <c r="F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D171" s="7"/>
      <c r="E171" s="7"/>
      <c r="F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D172" s="7"/>
      <c r="E172" s="7"/>
      <c r="F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D173" s="7"/>
      <c r="E173" s="7"/>
      <c r="F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D174" s="7"/>
      <c r="E174" s="7"/>
      <c r="F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D175" s="7"/>
      <c r="E175" s="7"/>
      <c r="F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D176" s="7"/>
      <c r="E176" s="7"/>
      <c r="F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D177" s="7"/>
      <c r="E177" s="7"/>
      <c r="F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D178" s="7"/>
      <c r="E178" s="7"/>
      <c r="F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D179" s="7"/>
      <c r="E179" s="7"/>
      <c r="F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D180" s="7"/>
      <c r="E180" s="7"/>
      <c r="F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D181" s="7"/>
      <c r="E181" s="7"/>
      <c r="F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D182" s="7"/>
      <c r="E182" s="7"/>
      <c r="F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D183" s="7"/>
      <c r="E183" s="7"/>
      <c r="F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D184" s="7"/>
      <c r="E184" s="7"/>
      <c r="F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D185" s="7"/>
      <c r="E185" s="7"/>
      <c r="F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D186" s="7"/>
      <c r="E186" s="7"/>
      <c r="F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D187" s="7"/>
      <c r="E187" s="7"/>
      <c r="F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D188" s="7"/>
      <c r="E188" s="7"/>
      <c r="F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D189" s="7"/>
      <c r="E189" s="7"/>
      <c r="F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D190" s="7"/>
      <c r="E190" s="7"/>
      <c r="F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D191" s="7"/>
      <c r="E191" s="7"/>
      <c r="F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D192" s="7"/>
      <c r="E192" s="7"/>
      <c r="F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D193" s="7"/>
      <c r="E193" s="7"/>
      <c r="F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D194" s="7"/>
      <c r="E194" s="7"/>
      <c r="F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D195" s="7"/>
      <c r="E195" s="7"/>
      <c r="F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D196" s="7"/>
      <c r="E196" s="7"/>
      <c r="F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D197" s="7"/>
      <c r="E197" s="7"/>
      <c r="F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D198" s="7"/>
      <c r="E198" s="7"/>
      <c r="F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D199" s="7"/>
      <c r="E199" s="7"/>
      <c r="F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D200" s="7"/>
      <c r="E200" s="7"/>
      <c r="F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D201" s="7"/>
      <c r="E201" s="7"/>
      <c r="F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D202" s="7"/>
      <c r="E202" s="7"/>
      <c r="F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D203" s="7"/>
      <c r="E203" s="7"/>
      <c r="F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D204" s="7"/>
      <c r="E204" s="7"/>
      <c r="F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D205" s="7"/>
      <c r="E205" s="7"/>
      <c r="F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D206" s="7"/>
      <c r="E206" s="7"/>
      <c r="F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D207" s="7"/>
      <c r="E207" s="7"/>
      <c r="F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D208" s="7"/>
      <c r="E208" s="7"/>
      <c r="F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D209" s="7"/>
      <c r="E209" s="7"/>
      <c r="F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D210" s="7"/>
      <c r="E210" s="7"/>
      <c r="F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D211" s="7"/>
      <c r="E211" s="7"/>
      <c r="F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D212" s="7"/>
      <c r="E212" s="7"/>
      <c r="F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D213" s="7"/>
      <c r="E213" s="7"/>
      <c r="F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D214" s="7"/>
      <c r="E214" s="7"/>
      <c r="F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D215" s="7"/>
      <c r="E215" s="7"/>
      <c r="F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D216" s="7"/>
      <c r="E216" s="7"/>
      <c r="F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D217" s="7"/>
      <c r="E217" s="7"/>
      <c r="F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D218" s="7"/>
      <c r="E218" s="7"/>
      <c r="F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D219" s="7"/>
      <c r="E219" s="7"/>
      <c r="F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D220" s="7"/>
      <c r="E220" s="7"/>
      <c r="F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D221" s="7"/>
      <c r="E221" s="7"/>
      <c r="F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D222" s="7"/>
      <c r="E222" s="7"/>
      <c r="F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D223" s="7"/>
      <c r="E223" s="7"/>
      <c r="F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D224" s="7"/>
      <c r="E224" s="7"/>
      <c r="F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D225" s="7"/>
      <c r="E225" s="7"/>
      <c r="F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D226" s="7"/>
      <c r="E226" s="7"/>
      <c r="F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D227" s="7"/>
      <c r="E227" s="7"/>
      <c r="F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D228" s="7"/>
      <c r="E228" s="7"/>
      <c r="F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D229" s="7"/>
      <c r="E229" s="7"/>
      <c r="F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D230" s="7"/>
      <c r="E230" s="7"/>
      <c r="F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D231" s="7"/>
      <c r="E231" s="7"/>
      <c r="F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D232" s="7"/>
      <c r="E232" s="7"/>
      <c r="F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D233" s="7"/>
      <c r="E233" s="7"/>
      <c r="F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D234" s="7"/>
      <c r="E234" s="7"/>
      <c r="F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D235" s="7"/>
      <c r="E235" s="7"/>
      <c r="F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D236" s="7"/>
      <c r="E236" s="7"/>
      <c r="F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D237" s="7"/>
      <c r="E237" s="7"/>
      <c r="F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D238" s="7"/>
      <c r="E238" s="7"/>
      <c r="F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D239" s="7"/>
      <c r="E239" s="7"/>
      <c r="F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D240" s="7"/>
      <c r="E240" s="7"/>
      <c r="F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D241" s="7"/>
      <c r="E241" s="7"/>
      <c r="F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D242" s="7"/>
      <c r="E242" s="7"/>
      <c r="F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D243" s="7"/>
      <c r="E243" s="7"/>
      <c r="F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D244" s="7"/>
      <c r="E244" s="7"/>
      <c r="F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D245" s="7"/>
      <c r="E245" s="7"/>
      <c r="F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D246" s="7"/>
      <c r="E246" s="7"/>
      <c r="F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D247" s="7"/>
      <c r="E247" s="7"/>
      <c r="F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D248" s="7"/>
      <c r="E248" s="7"/>
      <c r="F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D249" s="7"/>
      <c r="E249" s="7"/>
      <c r="F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D250" s="7"/>
      <c r="E250" s="7"/>
      <c r="F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D251" s="7"/>
      <c r="E251" s="7"/>
      <c r="F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D252" s="7"/>
      <c r="E252" s="7"/>
      <c r="F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D253" s="7"/>
      <c r="E253" s="7"/>
      <c r="F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D254" s="7"/>
      <c r="E254" s="7"/>
      <c r="F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D255" s="7"/>
      <c r="E255" s="7"/>
      <c r="F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D256" s="7"/>
      <c r="E256" s="7"/>
      <c r="F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D257" s="7"/>
      <c r="E257" s="7"/>
      <c r="F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D258" s="7"/>
      <c r="E258" s="7"/>
      <c r="F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D259" s="7"/>
      <c r="E259" s="7"/>
      <c r="F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D260" s="7"/>
      <c r="E260" s="7"/>
      <c r="F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D261" s="7"/>
      <c r="E261" s="7"/>
      <c r="F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D262" s="7"/>
      <c r="E262" s="7"/>
      <c r="F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D263" s="7"/>
      <c r="E263" s="7"/>
      <c r="F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D264" s="7"/>
      <c r="E264" s="7"/>
      <c r="F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D265" s="7"/>
      <c r="E265" s="7"/>
      <c r="F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D266" s="7"/>
      <c r="E266" s="7"/>
      <c r="F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D267" s="7"/>
      <c r="E267" s="7"/>
      <c r="F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D268" s="7"/>
      <c r="E268" s="7"/>
      <c r="F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D269" s="7"/>
      <c r="E269" s="7"/>
      <c r="F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D270" s="7"/>
      <c r="E270" s="7"/>
      <c r="F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D271" s="7"/>
      <c r="E271" s="7"/>
      <c r="F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D272" s="7"/>
      <c r="E272" s="7"/>
      <c r="F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D273" s="7"/>
      <c r="E273" s="7"/>
      <c r="F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D274" s="7"/>
      <c r="E274" s="7"/>
      <c r="F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D275" s="7"/>
      <c r="E275" s="7"/>
      <c r="F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D276" s="7"/>
      <c r="E276" s="7"/>
      <c r="F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D277" s="7"/>
      <c r="E277" s="7"/>
      <c r="F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D278" s="7"/>
      <c r="E278" s="7"/>
      <c r="F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D279" s="7"/>
      <c r="E279" s="7"/>
      <c r="F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D280" s="7"/>
      <c r="E280" s="7"/>
      <c r="F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D281" s="7"/>
      <c r="E281" s="7"/>
      <c r="F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D282" s="7"/>
      <c r="E282" s="7"/>
      <c r="F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D283" s="7"/>
      <c r="E283" s="7"/>
      <c r="F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D284" s="7"/>
      <c r="E284" s="7"/>
      <c r="F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D285" s="7"/>
      <c r="E285" s="7"/>
      <c r="F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D286" s="7"/>
      <c r="E286" s="7"/>
      <c r="F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D287" s="7"/>
      <c r="E287" s="7"/>
      <c r="F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D288" s="7"/>
      <c r="E288" s="7"/>
      <c r="F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D289" s="7"/>
      <c r="E289" s="7"/>
      <c r="F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D290" s="7"/>
      <c r="E290" s="7"/>
      <c r="F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D291" s="7"/>
      <c r="E291" s="7"/>
      <c r="F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D292" s="7"/>
      <c r="E292" s="7"/>
      <c r="F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D293" s="7"/>
      <c r="E293" s="7"/>
      <c r="F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D294" s="7"/>
      <c r="E294" s="7"/>
      <c r="F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D295" s="7"/>
      <c r="E295" s="7"/>
      <c r="F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D296" s="7"/>
      <c r="E296" s="7"/>
      <c r="F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D297" s="7"/>
      <c r="E297" s="7"/>
      <c r="F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D298" s="7"/>
      <c r="E298" s="7"/>
      <c r="F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D299" s="7"/>
      <c r="E299" s="7"/>
      <c r="F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D300" s="7"/>
      <c r="E300" s="7"/>
      <c r="F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D301" s="7"/>
      <c r="E301" s="7"/>
      <c r="F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D302" s="7"/>
      <c r="E302" s="7"/>
      <c r="F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D303" s="7"/>
      <c r="E303" s="7"/>
      <c r="F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D304" s="7"/>
      <c r="E304" s="7"/>
      <c r="F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D305" s="7"/>
      <c r="E305" s="7"/>
      <c r="F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D306" s="7"/>
      <c r="E306" s="7"/>
      <c r="F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D307" s="7"/>
      <c r="E307" s="7"/>
      <c r="F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D308" s="7"/>
      <c r="E308" s="7"/>
      <c r="F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D309" s="7"/>
      <c r="E309" s="7"/>
      <c r="F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D310" s="7"/>
      <c r="E310" s="7"/>
      <c r="F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D311" s="7"/>
      <c r="E311" s="7"/>
      <c r="F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D312" s="7"/>
      <c r="E312" s="7"/>
      <c r="F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D313" s="7"/>
      <c r="E313" s="7"/>
      <c r="F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D314" s="7"/>
      <c r="E314" s="7"/>
      <c r="F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D315" s="7"/>
      <c r="E315" s="7"/>
      <c r="F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D316" s="7"/>
      <c r="E316" s="7"/>
      <c r="F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D317" s="7"/>
      <c r="E317" s="7"/>
      <c r="F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D318" s="7"/>
      <c r="E318" s="7"/>
      <c r="F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D319" s="7"/>
      <c r="E319" s="7"/>
      <c r="F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D320" s="7"/>
      <c r="E320" s="7"/>
      <c r="F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D321" s="7"/>
      <c r="E321" s="7"/>
      <c r="F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D322" s="7"/>
      <c r="E322" s="7"/>
      <c r="F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D323" s="7"/>
      <c r="E323" s="7"/>
      <c r="F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D324" s="7"/>
      <c r="E324" s="7"/>
      <c r="F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D325" s="7"/>
      <c r="E325" s="7"/>
      <c r="F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D326" s="7"/>
      <c r="E326" s="7"/>
      <c r="F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D327" s="7"/>
      <c r="E327" s="7"/>
      <c r="F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D328" s="7"/>
      <c r="E328" s="7"/>
      <c r="F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D329" s="7"/>
      <c r="E329" s="7"/>
      <c r="F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D330" s="7"/>
      <c r="E330" s="7"/>
      <c r="F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D331" s="7"/>
      <c r="E331" s="7"/>
      <c r="F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D332" s="7"/>
      <c r="E332" s="7"/>
      <c r="F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D333" s="7"/>
      <c r="E333" s="7"/>
      <c r="F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D334" s="7"/>
      <c r="E334" s="7"/>
      <c r="F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D335" s="7"/>
      <c r="E335" s="7"/>
      <c r="F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D336" s="7"/>
      <c r="E336" s="7"/>
      <c r="F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D337" s="7"/>
      <c r="E337" s="7"/>
      <c r="F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D338" s="7"/>
      <c r="E338" s="7"/>
      <c r="F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D339" s="7"/>
      <c r="E339" s="7"/>
      <c r="F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D340" s="7"/>
      <c r="E340" s="7"/>
      <c r="F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D341" s="7"/>
      <c r="E341" s="7"/>
      <c r="F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D342" s="7"/>
      <c r="E342" s="7"/>
      <c r="F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D343" s="7"/>
      <c r="E343" s="7"/>
      <c r="F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D344" s="7"/>
      <c r="E344" s="7"/>
      <c r="F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D345" s="7"/>
      <c r="E345" s="7"/>
      <c r="F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D346" s="7"/>
      <c r="E346" s="7"/>
      <c r="F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D347" s="7"/>
      <c r="E347" s="7"/>
      <c r="F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D348" s="7"/>
      <c r="E348" s="7"/>
      <c r="F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D349" s="7"/>
      <c r="E349" s="7"/>
      <c r="F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D350" s="7"/>
      <c r="E350" s="7"/>
      <c r="F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D351" s="7"/>
      <c r="E351" s="7"/>
      <c r="F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D352" s="7"/>
      <c r="E352" s="7"/>
      <c r="F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D353" s="7"/>
      <c r="E353" s="7"/>
      <c r="F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D354" s="7"/>
      <c r="E354" s="7"/>
      <c r="F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D355" s="7"/>
      <c r="E355" s="7"/>
      <c r="F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D356" s="7"/>
      <c r="E356" s="7"/>
      <c r="F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D357" s="7"/>
      <c r="E357" s="7"/>
      <c r="F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D358" s="7"/>
      <c r="E358" s="7"/>
      <c r="F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D359" s="7"/>
      <c r="E359" s="7"/>
      <c r="F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D360" s="7"/>
      <c r="E360" s="7"/>
      <c r="F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D361" s="7"/>
      <c r="E361" s="7"/>
      <c r="F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D362" s="7"/>
      <c r="E362" s="7"/>
      <c r="F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D363" s="7"/>
      <c r="E363" s="7"/>
      <c r="F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D364" s="7"/>
      <c r="E364" s="7"/>
      <c r="F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D365" s="7"/>
      <c r="E365" s="7"/>
      <c r="F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D366" s="7"/>
      <c r="E366" s="7"/>
      <c r="F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D367" s="7"/>
      <c r="E367" s="7"/>
      <c r="F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D368" s="7"/>
      <c r="E368" s="7"/>
      <c r="F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D369" s="7"/>
      <c r="E369" s="7"/>
      <c r="F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D370" s="7"/>
      <c r="E370" s="7"/>
      <c r="F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D371" s="7"/>
      <c r="E371" s="7"/>
      <c r="F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D372" s="7"/>
      <c r="E372" s="7"/>
      <c r="F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D373" s="7"/>
      <c r="E373" s="7"/>
      <c r="F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D374" s="7"/>
      <c r="E374" s="7"/>
      <c r="F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D375" s="7"/>
      <c r="E375" s="7"/>
      <c r="F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D376" s="7"/>
      <c r="E376" s="7"/>
      <c r="F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D377" s="7"/>
      <c r="E377" s="7"/>
      <c r="F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D378" s="7"/>
      <c r="E378" s="7"/>
      <c r="F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D379" s="7"/>
      <c r="E379" s="7"/>
      <c r="F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D380" s="7"/>
      <c r="E380" s="7"/>
      <c r="F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D381" s="7"/>
      <c r="E381" s="7"/>
      <c r="F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D382" s="7"/>
      <c r="E382" s="7"/>
      <c r="F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D383" s="7"/>
      <c r="E383" s="7"/>
      <c r="F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D384" s="7"/>
      <c r="E384" s="7"/>
      <c r="F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D385" s="7"/>
      <c r="E385" s="7"/>
      <c r="F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D386" s="7"/>
      <c r="E386" s="7"/>
      <c r="F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D387" s="7"/>
      <c r="E387" s="7"/>
      <c r="F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D388" s="7"/>
      <c r="E388" s="7"/>
      <c r="F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D389" s="7"/>
      <c r="E389" s="7"/>
      <c r="F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D390" s="7"/>
      <c r="E390" s="7"/>
      <c r="F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D391" s="7"/>
      <c r="E391" s="7"/>
      <c r="F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D392" s="7"/>
      <c r="E392" s="7"/>
      <c r="F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D393" s="7"/>
      <c r="E393" s="7"/>
      <c r="F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D394" s="7"/>
      <c r="E394" s="7"/>
      <c r="F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D395" s="7"/>
      <c r="E395" s="7"/>
      <c r="F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D396" s="7"/>
      <c r="E396" s="7"/>
      <c r="F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D397" s="7"/>
      <c r="E397" s="7"/>
      <c r="F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D398" s="7"/>
      <c r="E398" s="7"/>
      <c r="F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D399" s="7"/>
      <c r="E399" s="7"/>
      <c r="F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D400" s="7"/>
      <c r="E400" s="7"/>
      <c r="F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D401" s="7"/>
      <c r="E401" s="7"/>
      <c r="F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D402" s="7"/>
      <c r="E402" s="7"/>
      <c r="F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D403" s="7"/>
      <c r="E403" s="7"/>
      <c r="F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D404" s="7"/>
      <c r="E404" s="7"/>
      <c r="F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D405" s="7"/>
      <c r="E405" s="7"/>
      <c r="F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D406" s="7"/>
      <c r="E406" s="7"/>
      <c r="F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D407" s="7"/>
      <c r="E407" s="7"/>
      <c r="F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D408" s="7"/>
      <c r="E408" s="7"/>
      <c r="F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D409" s="7"/>
      <c r="E409" s="7"/>
      <c r="F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D410" s="7"/>
      <c r="E410" s="7"/>
      <c r="F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D411" s="7"/>
      <c r="E411" s="7"/>
      <c r="F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D412" s="7"/>
      <c r="E412" s="7"/>
      <c r="F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D413" s="7"/>
      <c r="E413" s="7"/>
      <c r="F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D414" s="7"/>
      <c r="E414" s="7"/>
      <c r="F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D415" s="7"/>
      <c r="E415" s="7"/>
      <c r="F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D416" s="7"/>
      <c r="E416" s="7"/>
      <c r="F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D417" s="7"/>
      <c r="E417" s="7"/>
      <c r="F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D418" s="7"/>
      <c r="E418" s="7"/>
      <c r="F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D419" s="7"/>
      <c r="E419" s="7"/>
      <c r="F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D420" s="7"/>
      <c r="E420" s="7"/>
      <c r="F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D421" s="7"/>
      <c r="E421" s="7"/>
      <c r="F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D422" s="7"/>
      <c r="E422" s="7"/>
      <c r="F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D423" s="7"/>
      <c r="E423" s="7"/>
      <c r="F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D424" s="7"/>
      <c r="E424" s="7"/>
      <c r="F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D425" s="7"/>
      <c r="E425" s="7"/>
      <c r="F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D426" s="7"/>
      <c r="E426" s="7"/>
      <c r="F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D427" s="7"/>
      <c r="E427" s="7"/>
      <c r="F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D428" s="7"/>
      <c r="E428" s="7"/>
      <c r="F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D429" s="7"/>
      <c r="E429" s="7"/>
      <c r="F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D430" s="7"/>
      <c r="E430" s="7"/>
      <c r="F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D431" s="7"/>
      <c r="E431" s="7"/>
      <c r="F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D432" s="7"/>
      <c r="E432" s="7"/>
      <c r="F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D433" s="7"/>
      <c r="E433" s="7"/>
      <c r="F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D434" s="7"/>
      <c r="E434" s="7"/>
      <c r="F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D435" s="7"/>
      <c r="E435" s="7"/>
      <c r="F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D436" s="7"/>
      <c r="E436" s="7"/>
      <c r="F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D437" s="7"/>
      <c r="E437" s="7"/>
      <c r="F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D438" s="7"/>
      <c r="E438" s="7"/>
      <c r="F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D439" s="7"/>
      <c r="E439" s="7"/>
      <c r="F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D440" s="7"/>
      <c r="E440" s="7"/>
      <c r="F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D441" s="7"/>
      <c r="E441" s="7"/>
      <c r="F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D442" s="7"/>
      <c r="E442" s="7"/>
      <c r="F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D443" s="7"/>
      <c r="E443" s="7"/>
      <c r="F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D444" s="7"/>
      <c r="E444" s="7"/>
      <c r="F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D445" s="7"/>
      <c r="E445" s="7"/>
      <c r="F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D446" s="7"/>
      <c r="E446" s="7"/>
      <c r="F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D447" s="7"/>
      <c r="E447" s="7"/>
      <c r="F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D448" s="7"/>
      <c r="E448" s="7"/>
      <c r="F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D449" s="7"/>
      <c r="E449" s="7"/>
      <c r="F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D450" s="7"/>
      <c r="E450" s="7"/>
      <c r="F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D451" s="7"/>
      <c r="E451" s="7"/>
      <c r="F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D452" s="7"/>
      <c r="E452" s="7"/>
      <c r="F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D453" s="7"/>
      <c r="E453" s="7"/>
      <c r="F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D454" s="7"/>
      <c r="E454" s="7"/>
      <c r="F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D455" s="7"/>
      <c r="E455" s="7"/>
      <c r="F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D456" s="7"/>
      <c r="E456" s="7"/>
      <c r="F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D457" s="7"/>
      <c r="E457" s="7"/>
      <c r="F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D458" s="7"/>
      <c r="E458" s="7"/>
      <c r="F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D459" s="7"/>
      <c r="E459" s="7"/>
      <c r="F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D460" s="7"/>
      <c r="E460" s="7"/>
      <c r="F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D461" s="7"/>
      <c r="E461" s="7"/>
      <c r="F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D462" s="7"/>
      <c r="E462" s="7"/>
      <c r="F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D463" s="7"/>
      <c r="E463" s="7"/>
      <c r="F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D464" s="7"/>
      <c r="E464" s="7"/>
      <c r="F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D465" s="7"/>
      <c r="E465" s="7"/>
      <c r="F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D466" s="7"/>
      <c r="E466" s="7"/>
      <c r="F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D467" s="7"/>
      <c r="E467" s="7"/>
      <c r="F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D468" s="7"/>
      <c r="E468" s="7"/>
      <c r="F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D469" s="7"/>
      <c r="E469" s="7"/>
      <c r="F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D470" s="7"/>
      <c r="E470" s="7"/>
      <c r="F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D471" s="7"/>
      <c r="E471" s="7"/>
      <c r="F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D472" s="7"/>
      <c r="E472" s="7"/>
      <c r="F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D473" s="7"/>
      <c r="E473" s="7"/>
      <c r="F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D474" s="7"/>
      <c r="E474" s="7"/>
      <c r="F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D475" s="7"/>
      <c r="E475" s="7"/>
      <c r="F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D476" s="7"/>
      <c r="E476" s="7"/>
      <c r="F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D477" s="7"/>
      <c r="E477" s="7"/>
      <c r="F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D478" s="7"/>
      <c r="E478" s="7"/>
      <c r="F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D479" s="7"/>
      <c r="E479" s="7"/>
      <c r="F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D480" s="7"/>
      <c r="E480" s="7"/>
      <c r="F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D481" s="7"/>
      <c r="E481" s="7"/>
      <c r="F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D482" s="7"/>
      <c r="E482" s="7"/>
      <c r="F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D483" s="7"/>
      <c r="E483" s="7"/>
      <c r="F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D484" s="7"/>
      <c r="E484" s="7"/>
      <c r="F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D485" s="7"/>
      <c r="E485" s="7"/>
      <c r="F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D486" s="7"/>
      <c r="E486" s="7"/>
      <c r="F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D487" s="7"/>
      <c r="E487" s="7"/>
      <c r="F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D488" s="7"/>
      <c r="E488" s="7"/>
      <c r="F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D489" s="7"/>
      <c r="E489" s="7"/>
      <c r="F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D490" s="7"/>
      <c r="E490" s="7"/>
      <c r="F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D491" s="7"/>
      <c r="E491" s="7"/>
      <c r="F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D492" s="7"/>
      <c r="E492" s="7"/>
      <c r="F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D493" s="7"/>
      <c r="E493" s="7"/>
      <c r="F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D494" s="7"/>
      <c r="E494" s="7"/>
      <c r="F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D495" s="7"/>
      <c r="E495" s="7"/>
      <c r="F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D496" s="7"/>
      <c r="E496" s="7"/>
      <c r="F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D497" s="7"/>
      <c r="E497" s="7"/>
      <c r="F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D498" s="7"/>
      <c r="E498" s="7"/>
      <c r="F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D499" s="7"/>
      <c r="E499" s="7"/>
      <c r="F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D500" s="7"/>
      <c r="E500" s="7"/>
      <c r="F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D501" s="7"/>
      <c r="E501" s="7"/>
      <c r="F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D502" s="7"/>
      <c r="E502" s="7"/>
      <c r="F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D503" s="7"/>
      <c r="E503" s="7"/>
      <c r="F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D504" s="7"/>
      <c r="E504" s="7"/>
      <c r="F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D505" s="7"/>
      <c r="E505" s="7"/>
      <c r="F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D506" s="7"/>
      <c r="E506" s="7"/>
      <c r="F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D507" s="7"/>
      <c r="E507" s="7"/>
      <c r="F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D508" s="7"/>
      <c r="E508" s="7"/>
      <c r="F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D509" s="7"/>
      <c r="E509" s="7"/>
      <c r="F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D510" s="7"/>
      <c r="E510" s="7"/>
      <c r="F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D511" s="7"/>
      <c r="E511" s="7"/>
      <c r="F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D512" s="7"/>
      <c r="E512" s="7"/>
      <c r="F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D513" s="7"/>
      <c r="E513" s="7"/>
      <c r="F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D514" s="7"/>
      <c r="E514" s="7"/>
      <c r="F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D515" s="7"/>
      <c r="E515" s="7"/>
      <c r="F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D516" s="7"/>
      <c r="E516" s="7"/>
      <c r="F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D517" s="7"/>
      <c r="E517" s="7"/>
      <c r="F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D518" s="7"/>
      <c r="E518" s="7"/>
      <c r="F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D519" s="7"/>
      <c r="E519" s="7"/>
      <c r="F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D520" s="7"/>
      <c r="E520" s="7"/>
      <c r="F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D521" s="7"/>
      <c r="E521" s="7"/>
      <c r="F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D522" s="7"/>
      <c r="E522" s="7"/>
      <c r="F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D523" s="7"/>
      <c r="E523" s="7"/>
      <c r="F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D524" s="7"/>
      <c r="E524" s="7"/>
      <c r="F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D525" s="7"/>
      <c r="E525" s="7"/>
      <c r="F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D526" s="7"/>
      <c r="E526" s="7"/>
      <c r="F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D527" s="7"/>
      <c r="E527" s="7"/>
      <c r="F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D528" s="7"/>
      <c r="E528" s="7"/>
      <c r="F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D529" s="7"/>
      <c r="E529" s="7"/>
      <c r="F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D530" s="7"/>
      <c r="E530" s="7"/>
      <c r="F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D531" s="7"/>
      <c r="E531" s="7"/>
      <c r="F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D532" s="7"/>
      <c r="E532" s="7"/>
      <c r="F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D533" s="7"/>
      <c r="E533" s="7"/>
      <c r="F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D534" s="7"/>
      <c r="E534" s="7"/>
      <c r="F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D535" s="7"/>
      <c r="E535" s="7"/>
      <c r="F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D536" s="7"/>
      <c r="E536" s="7"/>
      <c r="F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D537" s="7"/>
      <c r="E537" s="7"/>
      <c r="F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D538" s="7"/>
      <c r="E538" s="7"/>
      <c r="F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D539" s="7"/>
      <c r="E539" s="7"/>
      <c r="F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D540" s="7"/>
      <c r="E540" s="7"/>
      <c r="F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D541" s="7"/>
      <c r="E541" s="7"/>
      <c r="F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D542" s="7"/>
      <c r="E542" s="7"/>
      <c r="F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D543" s="7"/>
      <c r="E543" s="7"/>
      <c r="F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D544" s="7"/>
      <c r="E544" s="7"/>
      <c r="F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D545" s="7"/>
      <c r="E545" s="7"/>
      <c r="F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D546" s="7"/>
      <c r="E546" s="7"/>
      <c r="F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D547" s="7"/>
      <c r="E547" s="7"/>
      <c r="F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D548" s="7"/>
      <c r="E548" s="7"/>
      <c r="F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D549" s="7"/>
      <c r="E549" s="7"/>
      <c r="F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D550" s="7"/>
      <c r="E550" s="7"/>
      <c r="F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D551" s="7"/>
      <c r="E551" s="7"/>
      <c r="F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D552" s="7"/>
      <c r="E552" s="7"/>
      <c r="F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D553" s="7"/>
      <c r="E553" s="7"/>
      <c r="F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D554" s="7"/>
      <c r="E554" s="7"/>
      <c r="F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D555" s="7"/>
      <c r="E555" s="7"/>
      <c r="F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D556" s="7"/>
      <c r="E556" s="7"/>
      <c r="F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D557" s="7"/>
      <c r="E557" s="7"/>
      <c r="F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D558" s="7"/>
      <c r="E558" s="7"/>
      <c r="F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D559" s="7"/>
      <c r="E559" s="7"/>
      <c r="F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D560" s="7"/>
      <c r="E560" s="7"/>
      <c r="F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D561" s="7"/>
      <c r="E561" s="7"/>
      <c r="F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D562" s="7"/>
      <c r="E562" s="7"/>
      <c r="F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D563" s="7"/>
      <c r="E563" s="7"/>
      <c r="F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D564" s="7"/>
      <c r="E564" s="7"/>
      <c r="F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D565" s="7"/>
      <c r="E565" s="7"/>
      <c r="F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D566" s="7"/>
      <c r="E566" s="7"/>
      <c r="F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D567" s="7"/>
      <c r="E567" s="7"/>
      <c r="F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D568" s="7"/>
      <c r="E568" s="7"/>
      <c r="F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D569" s="7"/>
      <c r="E569" s="7"/>
      <c r="F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D570" s="7"/>
      <c r="E570" s="7"/>
      <c r="F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D571" s="7"/>
      <c r="E571" s="7"/>
      <c r="F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D572" s="7"/>
      <c r="E572" s="7"/>
      <c r="F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D573" s="7"/>
      <c r="E573" s="7"/>
      <c r="F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D574" s="7"/>
      <c r="E574" s="7"/>
      <c r="F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D575" s="7"/>
      <c r="E575" s="7"/>
      <c r="F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D576" s="7"/>
      <c r="E576" s="7"/>
      <c r="F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D577" s="7"/>
      <c r="E577" s="7"/>
      <c r="F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D578" s="7"/>
      <c r="E578" s="7"/>
      <c r="F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D579" s="7"/>
      <c r="E579" s="7"/>
      <c r="F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D580" s="7"/>
      <c r="E580" s="7"/>
      <c r="F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D581" s="7"/>
      <c r="E581" s="7"/>
      <c r="F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D582" s="7"/>
      <c r="E582" s="7"/>
      <c r="F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D583" s="7"/>
      <c r="E583" s="7"/>
      <c r="F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D584" s="7"/>
      <c r="E584" s="7"/>
      <c r="F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D585" s="7"/>
      <c r="E585" s="7"/>
      <c r="F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D586" s="7"/>
      <c r="E586" s="7"/>
      <c r="F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D587" s="7"/>
      <c r="E587" s="7"/>
      <c r="F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D588" s="7"/>
      <c r="E588" s="7"/>
      <c r="F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D589" s="7"/>
      <c r="E589" s="7"/>
      <c r="F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D590" s="7"/>
      <c r="E590" s="7"/>
      <c r="F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D591" s="7"/>
      <c r="E591" s="7"/>
      <c r="F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D592" s="7"/>
      <c r="E592" s="7"/>
      <c r="F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D593" s="7"/>
      <c r="E593" s="7"/>
      <c r="F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D594" s="7"/>
      <c r="E594" s="7"/>
      <c r="F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D595" s="7"/>
      <c r="E595" s="7"/>
      <c r="F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D596" s="7"/>
      <c r="E596" s="7"/>
      <c r="F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D597" s="7"/>
      <c r="E597" s="7"/>
      <c r="F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D598" s="7"/>
      <c r="E598" s="7"/>
      <c r="F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D599" s="7"/>
      <c r="E599" s="7"/>
      <c r="F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D600" s="7"/>
      <c r="E600" s="7"/>
      <c r="F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D601" s="7"/>
      <c r="E601" s="7"/>
      <c r="F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D602" s="7"/>
      <c r="E602" s="7"/>
      <c r="F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D603" s="7"/>
      <c r="E603" s="7"/>
      <c r="F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D604" s="7"/>
      <c r="E604" s="7"/>
      <c r="F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D605" s="7"/>
      <c r="E605" s="7"/>
      <c r="F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D606" s="7"/>
      <c r="E606" s="7"/>
      <c r="F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D607" s="7"/>
      <c r="E607" s="7"/>
      <c r="F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D608" s="7"/>
      <c r="E608" s="7"/>
      <c r="F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D609" s="7"/>
      <c r="E609" s="7"/>
      <c r="F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D610" s="7"/>
      <c r="E610" s="7"/>
      <c r="F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D611" s="7"/>
      <c r="E611" s="7"/>
      <c r="F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D612" s="7"/>
      <c r="E612" s="7"/>
      <c r="F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D613" s="7"/>
      <c r="E613" s="7"/>
      <c r="F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D614" s="7"/>
      <c r="E614" s="7"/>
      <c r="F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D615" s="7"/>
      <c r="E615" s="7"/>
      <c r="F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D616" s="7"/>
      <c r="E616" s="7"/>
      <c r="F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D617" s="7"/>
      <c r="E617" s="7"/>
      <c r="F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D618" s="7"/>
      <c r="E618" s="7"/>
      <c r="F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D619" s="7"/>
      <c r="E619" s="7"/>
      <c r="F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D620" s="7"/>
      <c r="E620" s="7"/>
      <c r="F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D621" s="7"/>
      <c r="E621" s="7"/>
      <c r="F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D622" s="7"/>
      <c r="E622" s="7"/>
      <c r="F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D623" s="7"/>
      <c r="E623" s="7"/>
      <c r="F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D624" s="7"/>
      <c r="E624" s="7"/>
      <c r="F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D625" s="7"/>
      <c r="E625" s="7"/>
      <c r="F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D626" s="7"/>
      <c r="E626" s="7"/>
      <c r="F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D627" s="7"/>
      <c r="E627" s="7"/>
      <c r="F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D628" s="7"/>
      <c r="E628" s="7"/>
      <c r="F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D629" s="7"/>
      <c r="E629" s="7"/>
      <c r="F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D630" s="7"/>
      <c r="E630" s="7"/>
      <c r="F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D631" s="7"/>
      <c r="E631" s="7"/>
      <c r="F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D632" s="7"/>
      <c r="E632" s="7"/>
      <c r="F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D633" s="7"/>
      <c r="E633" s="7"/>
      <c r="F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D634" s="7"/>
      <c r="E634" s="7"/>
      <c r="F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D635" s="7"/>
      <c r="E635" s="7"/>
      <c r="F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D636" s="7"/>
      <c r="E636" s="7"/>
      <c r="F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D637" s="7"/>
      <c r="E637" s="7"/>
      <c r="F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D638" s="7"/>
      <c r="E638" s="7"/>
      <c r="F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D639" s="7"/>
      <c r="E639" s="7"/>
      <c r="F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D640" s="7"/>
      <c r="E640" s="7"/>
      <c r="F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D641" s="7"/>
      <c r="E641" s="7"/>
      <c r="F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D642" s="7"/>
      <c r="E642" s="7"/>
      <c r="F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D643" s="7"/>
      <c r="E643" s="7"/>
      <c r="F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D644" s="7"/>
      <c r="E644" s="7"/>
      <c r="F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D645" s="7"/>
      <c r="E645" s="7"/>
      <c r="F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D646" s="7"/>
      <c r="E646" s="7"/>
      <c r="F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D647" s="7"/>
      <c r="E647" s="7"/>
      <c r="F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D648" s="7"/>
      <c r="E648" s="7"/>
      <c r="F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D649" s="7"/>
      <c r="E649" s="7"/>
      <c r="F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D650" s="7"/>
      <c r="E650" s="7"/>
      <c r="F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D651" s="7"/>
      <c r="E651" s="7"/>
      <c r="F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D652" s="7"/>
      <c r="E652" s="7"/>
      <c r="F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D653" s="7"/>
      <c r="E653" s="7"/>
      <c r="F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D654" s="7"/>
      <c r="E654" s="7"/>
      <c r="F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D655" s="7"/>
      <c r="E655" s="7"/>
      <c r="F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D656" s="7"/>
      <c r="E656" s="7"/>
      <c r="F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D657" s="7"/>
      <c r="E657" s="7"/>
      <c r="F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D658" s="7"/>
      <c r="E658" s="7"/>
      <c r="F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D659" s="7"/>
      <c r="E659" s="7"/>
      <c r="F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D660" s="7"/>
      <c r="E660" s="7"/>
      <c r="F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D661" s="7"/>
      <c r="E661" s="7"/>
      <c r="F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D662" s="7"/>
      <c r="E662" s="7"/>
      <c r="F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D663" s="7"/>
      <c r="E663" s="7"/>
      <c r="F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D664" s="7"/>
      <c r="E664" s="7"/>
      <c r="F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D665" s="7"/>
      <c r="E665" s="7"/>
      <c r="F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D666" s="7"/>
      <c r="E666" s="7"/>
      <c r="F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D667" s="7"/>
      <c r="E667" s="7"/>
      <c r="F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D668" s="7"/>
      <c r="E668" s="7"/>
      <c r="F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D669" s="7"/>
      <c r="E669" s="7"/>
      <c r="F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D670" s="7"/>
      <c r="E670" s="7"/>
      <c r="F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D671" s="7"/>
      <c r="E671" s="7"/>
      <c r="F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D672" s="7"/>
      <c r="E672" s="7"/>
      <c r="F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D673" s="7"/>
      <c r="E673" s="7"/>
      <c r="F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D674" s="7"/>
      <c r="E674" s="7"/>
      <c r="F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D675" s="7"/>
      <c r="E675" s="7"/>
      <c r="F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D676" s="7"/>
      <c r="E676" s="7"/>
      <c r="F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D677" s="7"/>
      <c r="E677" s="7"/>
      <c r="F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D678" s="7"/>
      <c r="E678" s="7"/>
      <c r="F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D679" s="7"/>
      <c r="E679" s="7"/>
      <c r="F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D680" s="7"/>
      <c r="E680" s="7"/>
      <c r="F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D681" s="7"/>
      <c r="E681" s="7"/>
      <c r="F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D682" s="7"/>
      <c r="E682" s="7"/>
      <c r="F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D683" s="7"/>
      <c r="E683" s="7"/>
      <c r="F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D684" s="7"/>
      <c r="E684" s="7"/>
      <c r="F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D685" s="7"/>
      <c r="E685" s="7"/>
      <c r="F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D686" s="7"/>
      <c r="E686" s="7"/>
      <c r="F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D687" s="7"/>
      <c r="E687" s="7"/>
      <c r="F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D688" s="7"/>
      <c r="E688" s="7"/>
      <c r="F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D689" s="7"/>
      <c r="E689" s="7"/>
      <c r="F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D690" s="7"/>
      <c r="E690" s="7"/>
      <c r="F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D691" s="7"/>
      <c r="E691" s="7"/>
      <c r="F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D692" s="7"/>
      <c r="E692" s="7"/>
      <c r="F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D693" s="7"/>
      <c r="E693" s="7"/>
      <c r="F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D694" s="7"/>
      <c r="E694" s="7"/>
      <c r="F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D695" s="7"/>
      <c r="E695" s="7"/>
      <c r="F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D696" s="7"/>
      <c r="E696" s="7"/>
      <c r="F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D697" s="7"/>
      <c r="E697" s="7"/>
      <c r="F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D698" s="7"/>
      <c r="E698" s="7"/>
      <c r="F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D699" s="7"/>
      <c r="E699" s="7"/>
      <c r="F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D700" s="7"/>
      <c r="E700" s="7"/>
      <c r="F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D701" s="7"/>
      <c r="E701" s="7"/>
      <c r="F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D702" s="7"/>
      <c r="E702" s="7"/>
      <c r="F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D703" s="7"/>
      <c r="E703" s="7"/>
      <c r="F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D704" s="7"/>
      <c r="E704" s="7"/>
      <c r="F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D705" s="7"/>
      <c r="E705" s="7"/>
      <c r="F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D706" s="7"/>
      <c r="E706" s="7"/>
      <c r="F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D707" s="7"/>
      <c r="E707" s="7"/>
      <c r="F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D708" s="7"/>
      <c r="E708" s="7"/>
      <c r="F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D709" s="7"/>
      <c r="E709" s="7"/>
      <c r="F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D710" s="7"/>
      <c r="E710" s="7"/>
      <c r="F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D711" s="7"/>
      <c r="E711" s="7"/>
      <c r="F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D712" s="7"/>
      <c r="E712" s="7"/>
      <c r="F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D713" s="7"/>
      <c r="E713" s="7"/>
      <c r="F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D714" s="7"/>
      <c r="E714" s="7"/>
      <c r="F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D715" s="7"/>
      <c r="E715" s="7"/>
      <c r="F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D716" s="7"/>
      <c r="E716" s="7"/>
      <c r="F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D717" s="7"/>
      <c r="E717" s="7"/>
      <c r="F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D718" s="7"/>
      <c r="E718" s="7"/>
      <c r="F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D719" s="7"/>
      <c r="E719" s="7"/>
      <c r="F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D720" s="7"/>
      <c r="E720" s="7"/>
      <c r="F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D721" s="7"/>
      <c r="E721" s="7"/>
      <c r="F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D722" s="7"/>
      <c r="E722" s="7"/>
      <c r="F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D723" s="7"/>
      <c r="E723" s="7"/>
      <c r="F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D724" s="7"/>
      <c r="E724" s="7"/>
      <c r="F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D725" s="7"/>
      <c r="E725" s="7"/>
      <c r="F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D726" s="7"/>
      <c r="E726" s="7"/>
      <c r="F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D727" s="7"/>
      <c r="E727" s="7"/>
      <c r="F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D728" s="7"/>
      <c r="E728" s="7"/>
      <c r="F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D729" s="7"/>
      <c r="E729" s="7"/>
      <c r="F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D730" s="7"/>
      <c r="E730" s="7"/>
      <c r="F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D731" s="7"/>
      <c r="E731" s="7"/>
      <c r="F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D732" s="7"/>
      <c r="E732" s="7"/>
      <c r="F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D733" s="7"/>
      <c r="E733" s="7"/>
      <c r="F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D734" s="7"/>
      <c r="E734" s="7"/>
      <c r="F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D735" s="7"/>
      <c r="E735" s="7"/>
      <c r="F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D736" s="7"/>
      <c r="E736" s="7"/>
      <c r="F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D737" s="7"/>
      <c r="E737" s="7"/>
      <c r="F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D738" s="7"/>
      <c r="E738" s="7"/>
      <c r="F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D739" s="7"/>
      <c r="E739" s="7"/>
      <c r="F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D740" s="7"/>
      <c r="E740" s="7"/>
      <c r="F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D741" s="7"/>
      <c r="E741" s="7"/>
      <c r="F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D742" s="7"/>
      <c r="E742" s="7"/>
      <c r="F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D743" s="7"/>
      <c r="E743" s="7"/>
      <c r="F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D744" s="7"/>
      <c r="E744" s="7"/>
      <c r="F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D745" s="7"/>
      <c r="E745" s="7"/>
      <c r="F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D746" s="7"/>
      <c r="E746" s="7"/>
      <c r="F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D747" s="7"/>
      <c r="E747" s="7"/>
      <c r="F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D748" s="7"/>
      <c r="E748" s="7"/>
      <c r="F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D749" s="7"/>
      <c r="E749" s="7"/>
      <c r="F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D750" s="7"/>
      <c r="E750" s="7"/>
      <c r="F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D751" s="7"/>
      <c r="E751" s="7"/>
      <c r="F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D752" s="7"/>
      <c r="E752" s="7"/>
      <c r="F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D753" s="7"/>
      <c r="E753" s="7"/>
      <c r="F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D754" s="7"/>
      <c r="E754" s="7"/>
      <c r="F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D755" s="7"/>
      <c r="E755" s="7"/>
      <c r="F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D756" s="7"/>
      <c r="E756" s="7"/>
      <c r="F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D757" s="7"/>
      <c r="E757" s="7"/>
      <c r="F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D758" s="7"/>
      <c r="E758" s="7"/>
      <c r="F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D759" s="7"/>
      <c r="E759" s="7"/>
      <c r="F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D760" s="7"/>
      <c r="E760" s="7"/>
      <c r="F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D761" s="7"/>
      <c r="E761" s="7"/>
      <c r="F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D762" s="7"/>
      <c r="E762" s="7"/>
      <c r="F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D763" s="7"/>
      <c r="E763" s="7"/>
      <c r="F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D764" s="7"/>
      <c r="E764" s="7"/>
      <c r="F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D765" s="7"/>
      <c r="E765" s="7"/>
      <c r="F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D766" s="7"/>
      <c r="E766" s="7"/>
      <c r="F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D767" s="7"/>
      <c r="E767" s="7"/>
      <c r="F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D768" s="7"/>
      <c r="E768" s="7"/>
      <c r="F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D769" s="7"/>
      <c r="E769" s="7"/>
      <c r="F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D770" s="7"/>
      <c r="E770" s="7"/>
      <c r="F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D771" s="7"/>
      <c r="E771" s="7"/>
      <c r="F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D772" s="7"/>
      <c r="E772" s="7"/>
      <c r="F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D773" s="7"/>
      <c r="E773" s="7"/>
      <c r="F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D774" s="7"/>
      <c r="E774" s="7"/>
      <c r="F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D775" s="7"/>
      <c r="E775" s="7"/>
      <c r="F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D776" s="7"/>
      <c r="E776" s="7"/>
      <c r="F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D777" s="7"/>
      <c r="E777" s="7"/>
      <c r="F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D778" s="7"/>
      <c r="E778" s="7"/>
      <c r="F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D779" s="7"/>
      <c r="E779" s="7"/>
      <c r="F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D780" s="7"/>
      <c r="E780" s="7"/>
      <c r="F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D781" s="7"/>
      <c r="E781" s="7"/>
      <c r="F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D782" s="7"/>
      <c r="E782" s="7"/>
      <c r="F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D783" s="7"/>
      <c r="E783" s="7"/>
      <c r="F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D784" s="7"/>
      <c r="E784" s="7"/>
      <c r="F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D785" s="7"/>
      <c r="E785" s="7"/>
      <c r="F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D786" s="7"/>
      <c r="E786" s="7"/>
      <c r="F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D787" s="7"/>
      <c r="E787" s="7"/>
      <c r="F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D788" s="7"/>
      <c r="E788" s="7"/>
      <c r="F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D789" s="7"/>
      <c r="E789" s="7"/>
      <c r="F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D790" s="7"/>
      <c r="E790" s="7"/>
      <c r="F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D791" s="7"/>
      <c r="E791" s="7"/>
      <c r="F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D792" s="7"/>
      <c r="E792" s="7"/>
      <c r="F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D793" s="7"/>
      <c r="E793" s="7"/>
      <c r="F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D794" s="7"/>
      <c r="E794" s="7"/>
      <c r="F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D795" s="7"/>
      <c r="E795" s="7"/>
      <c r="F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D796" s="7"/>
      <c r="E796" s="7"/>
      <c r="F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D797" s="7"/>
      <c r="E797" s="7"/>
      <c r="F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D798" s="7"/>
      <c r="E798" s="7"/>
      <c r="F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D799" s="7"/>
      <c r="E799" s="7"/>
      <c r="F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D800" s="7"/>
      <c r="E800" s="7"/>
      <c r="F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D801" s="7"/>
      <c r="E801" s="7"/>
      <c r="F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D802" s="7"/>
      <c r="E802" s="7"/>
      <c r="F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D803" s="7"/>
      <c r="E803" s="7"/>
      <c r="F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D804" s="7"/>
      <c r="E804" s="7"/>
      <c r="F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D805" s="7"/>
      <c r="E805" s="7"/>
      <c r="F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D806" s="7"/>
      <c r="E806" s="7"/>
      <c r="F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D807" s="7"/>
      <c r="E807" s="7"/>
      <c r="F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D808" s="7"/>
      <c r="E808" s="7"/>
      <c r="F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D809" s="7"/>
      <c r="E809" s="7"/>
      <c r="F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D810" s="7"/>
      <c r="E810" s="7"/>
      <c r="F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D811" s="7"/>
      <c r="E811" s="7"/>
      <c r="F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D812" s="7"/>
      <c r="E812" s="7"/>
      <c r="F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D813" s="7"/>
      <c r="E813" s="7"/>
      <c r="F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D814" s="7"/>
      <c r="E814" s="7"/>
      <c r="F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D815" s="7"/>
      <c r="E815" s="7"/>
      <c r="F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D816" s="7"/>
      <c r="E816" s="7"/>
      <c r="F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D817" s="7"/>
      <c r="E817" s="7"/>
      <c r="F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D818" s="7"/>
      <c r="E818" s="7"/>
      <c r="F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D819" s="7"/>
      <c r="E819" s="7"/>
      <c r="F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D820" s="7"/>
      <c r="E820" s="7"/>
      <c r="F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D821" s="7"/>
      <c r="E821" s="7"/>
      <c r="F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D822" s="7"/>
      <c r="E822" s="7"/>
      <c r="F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D823" s="7"/>
      <c r="E823" s="7"/>
      <c r="F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D824" s="7"/>
      <c r="E824" s="7"/>
      <c r="F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D825" s="7"/>
      <c r="E825" s="7"/>
      <c r="F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D826" s="7"/>
      <c r="E826" s="7"/>
      <c r="F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D827" s="7"/>
      <c r="E827" s="7"/>
      <c r="F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D828" s="7"/>
      <c r="E828" s="7"/>
      <c r="F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D829" s="7"/>
      <c r="E829" s="7"/>
      <c r="F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D830" s="7"/>
      <c r="E830" s="7"/>
      <c r="F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D831" s="7"/>
      <c r="E831" s="7"/>
      <c r="F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D832" s="7"/>
      <c r="E832" s="7"/>
      <c r="F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D833" s="7"/>
      <c r="E833" s="7"/>
      <c r="F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D834" s="7"/>
      <c r="E834" s="7"/>
      <c r="F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D835" s="7"/>
      <c r="E835" s="7"/>
      <c r="F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D836" s="7"/>
      <c r="E836" s="7"/>
      <c r="F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D837" s="7"/>
      <c r="E837" s="7"/>
      <c r="F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D838" s="7"/>
      <c r="E838" s="7"/>
      <c r="F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D839" s="7"/>
      <c r="E839" s="7"/>
      <c r="F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D840" s="7"/>
      <c r="E840" s="7"/>
      <c r="F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D841" s="7"/>
      <c r="E841" s="7"/>
      <c r="F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D842" s="7"/>
      <c r="E842" s="7"/>
      <c r="F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D843" s="7"/>
      <c r="E843" s="7"/>
      <c r="F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D844" s="7"/>
      <c r="E844" s="7"/>
      <c r="F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D845" s="7"/>
      <c r="E845" s="7"/>
      <c r="F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D846" s="7"/>
      <c r="E846" s="7"/>
      <c r="F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D847" s="7"/>
      <c r="E847" s="7"/>
      <c r="F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D848" s="7"/>
      <c r="E848" s="7"/>
      <c r="F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D849" s="7"/>
      <c r="E849" s="7"/>
      <c r="F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D850" s="7"/>
      <c r="E850" s="7"/>
      <c r="F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D851" s="7"/>
      <c r="E851" s="7"/>
      <c r="F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D852" s="7"/>
      <c r="E852" s="7"/>
      <c r="F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D853" s="7"/>
      <c r="E853" s="7"/>
      <c r="F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D854" s="7"/>
      <c r="E854" s="7"/>
      <c r="F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D855" s="7"/>
      <c r="E855" s="7"/>
      <c r="F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D856" s="7"/>
      <c r="E856" s="7"/>
      <c r="F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D857" s="7"/>
      <c r="E857" s="7"/>
      <c r="F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D858" s="7"/>
      <c r="E858" s="7"/>
      <c r="F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D859" s="7"/>
      <c r="E859" s="7"/>
      <c r="F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D860" s="7"/>
      <c r="E860" s="7"/>
      <c r="F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D861" s="7"/>
      <c r="E861" s="7"/>
      <c r="F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D862" s="7"/>
      <c r="E862" s="7"/>
      <c r="F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D863" s="7"/>
      <c r="E863" s="7"/>
      <c r="F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D864" s="7"/>
      <c r="E864" s="7"/>
      <c r="F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D865" s="7"/>
      <c r="E865" s="7"/>
      <c r="F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D866" s="7"/>
      <c r="E866" s="7"/>
      <c r="F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D867" s="7"/>
      <c r="E867" s="7"/>
      <c r="F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D868" s="7"/>
      <c r="E868" s="7"/>
      <c r="F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D869" s="7"/>
      <c r="E869" s="7"/>
      <c r="F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D870" s="7"/>
      <c r="E870" s="7"/>
      <c r="F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D871" s="7"/>
      <c r="E871" s="7"/>
      <c r="F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D872" s="7"/>
      <c r="E872" s="7"/>
      <c r="F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D873" s="7"/>
      <c r="E873" s="7"/>
      <c r="F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D874" s="7"/>
      <c r="E874" s="7"/>
      <c r="F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D875" s="7"/>
      <c r="E875" s="7"/>
      <c r="F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D876" s="7"/>
      <c r="E876" s="7"/>
      <c r="F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D877" s="7"/>
      <c r="E877" s="7"/>
      <c r="F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D878" s="7"/>
      <c r="E878" s="7"/>
      <c r="F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D879" s="7"/>
      <c r="E879" s="7"/>
      <c r="F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D880" s="7"/>
      <c r="E880" s="7"/>
      <c r="F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D881" s="7"/>
      <c r="E881" s="7"/>
      <c r="F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D882" s="7"/>
      <c r="E882" s="7"/>
      <c r="F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D883" s="7"/>
      <c r="E883" s="7"/>
      <c r="F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D884" s="7"/>
      <c r="E884" s="7"/>
      <c r="F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D885" s="7"/>
      <c r="E885" s="7"/>
      <c r="F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D886" s="7"/>
      <c r="E886" s="7"/>
      <c r="F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D887" s="7"/>
      <c r="E887" s="7"/>
      <c r="F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D888" s="7"/>
      <c r="E888" s="7"/>
      <c r="F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D889" s="7"/>
      <c r="E889" s="7"/>
      <c r="F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D890" s="7"/>
      <c r="E890" s="7"/>
      <c r="F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D891" s="7"/>
      <c r="E891" s="7"/>
      <c r="F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D892" s="7"/>
      <c r="E892" s="7"/>
      <c r="F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D893" s="7"/>
      <c r="E893" s="7"/>
      <c r="F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D894" s="7"/>
      <c r="E894" s="7"/>
      <c r="F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D895" s="7"/>
      <c r="E895" s="7"/>
      <c r="F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D896" s="7"/>
      <c r="E896" s="7"/>
      <c r="F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D897" s="7"/>
      <c r="E897" s="7"/>
      <c r="F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D898" s="7"/>
      <c r="E898" s="7"/>
      <c r="F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D899" s="7"/>
      <c r="E899" s="7"/>
      <c r="F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D900" s="7"/>
      <c r="E900" s="7"/>
      <c r="F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D901" s="7"/>
      <c r="E901" s="7"/>
      <c r="F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D902" s="7"/>
      <c r="E902" s="7"/>
      <c r="F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D903" s="7"/>
      <c r="E903" s="7"/>
      <c r="F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D904" s="7"/>
      <c r="E904" s="7"/>
      <c r="F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D905" s="7"/>
      <c r="E905" s="7"/>
      <c r="F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D906" s="7"/>
      <c r="E906" s="7"/>
      <c r="F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D907" s="7"/>
      <c r="E907" s="7"/>
      <c r="F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D908" s="7"/>
      <c r="E908" s="7"/>
      <c r="F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D909" s="7"/>
      <c r="E909" s="7"/>
      <c r="F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D910" s="7"/>
      <c r="E910" s="7"/>
      <c r="F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D911" s="7"/>
      <c r="E911" s="7"/>
      <c r="F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D912" s="7"/>
      <c r="E912" s="7"/>
      <c r="F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D913" s="7"/>
      <c r="E913" s="7"/>
      <c r="F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D914" s="7"/>
      <c r="E914" s="7"/>
      <c r="F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D915" s="7"/>
      <c r="E915" s="7"/>
      <c r="F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D916" s="7"/>
      <c r="E916" s="7"/>
      <c r="F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D917" s="7"/>
      <c r="E917" s="7"/>
      <c r="F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D918" s="7"/>
      <c r="E918" s="7"/>
      <c r="F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D919" s="7"/>
      <c r="E919" s="7"/>
      <c r="F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D920" s="7"/>
      <c r="E920" s="7"/>
      <c r="F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D921" s="7"/>
      <c r="E921" s="7"/>
      <c r="F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D922" s="7"/>
      <c r="E922" s="7"/>
      <c r="F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D923" s="7"/>
      <c r="E923" s="7"/>
      <c r="F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D924" s="7"/>
      <c r="E924" s="7"/>
      <c r="F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D925" s="7"/>
      <c r="E925" s="7"/>
      <c r="F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D926" s="7"/>
      <c r="E926" s="7"/>
      <c r="F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D927" s="7"/>
      <c r="E927" s="7"/>
      <c r="F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D928" s="7"/>
      <c r="E928" s="7"/>
      <c r="F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D929" s="7"/>
      <c r="E929" s="7"/>
      <c r="F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D930" s="7"/>
      <c r="E930" s="7"/>
      <c r="F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D931" s="7"/>
      <c r="E931" s="7"/>
      <c r="F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D932" s="7"/>
      <c r="E932" s="7"/>
      <c r="F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D933" s="7"/>
      <c r="E933" s="7"/>
      <c r="F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D934" s="7"/>
      <c r="E934" s="7"/>
      <c r="F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D935" s="7"/>
      <c r="E935" s="7"/>
      <c r="F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D936" s="7"/>
      <c r="E936" s="7"/>
      <c r="F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D937" s="7"/>
      <c r="E937" s="7"/>
      <c r="F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D938" s="7"/>
      <c r="E938" s="7"/>
      <c r="F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D939" s="7"/>
      <c r="E939" s="7"/>
      <c r="F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D940" s="7"/>
      <c r="E940" s="7"/>
      <c r="F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D941" s="7"/>
      <c r="E941" s="7"/>
      <c r="F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D942" s="7"/>
      <c r="E942" s="7"/>
      <c r="F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D943" s="7"/>
      <c r="E943" s="7"/>
      <c r="F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D944" s="7"/>
      <c r="E944" s="7"/>
      <c r="F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D945" s="7"/>
      <c r="E945" s="7"/>
      <c r="F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D946" s="7"/>
      <c r="E946" s="7"/>
      <c r="F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D947" s="7"/>
      <c r="E947" s="7"/>
      <c r="F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D948" s="7"/>
      <c r="E948" s="7"/>
      <c r="F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D949" s="7"/>
      <c r="E949" s="7"/>
      <c r="F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D950" s="7"/>
      <c r="E950" s="7"/>
      <c r="F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D951" s="7"/>
      <c r="E951" s="7"/>
      <c r="F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D952" s="7"/>
      <c r="E952" s="7"/>
      <c r="F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D953" s="7"/>
      <c r="E953" s="7"/>
      <c r="F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D954" s="7"/>
      <c r="E954" s="7"/>
      <c r="F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D955" s="7"/>
      <c r="E955" s="7"/>
      <c r="F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D956" s="7"/>
      <c r="E956" s="7"/>
      <c r="F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D957" s="7"/>
      <c r="E957" s="7"/>
      <c r="F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D958" s="7"/>
      <c r="E958" s="7"/>
      <c r="F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D959" s="7"/>
      <c r="E959" s="7"/>
      <c r="F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D960" s="7"/>
      <c r="E960" s="7"/>
      <c r="F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D961" s="7"/>
      <c r="E961" s="7"/>
      <c r="F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D962" s="7"/>
      <c r="E962" s="7"/>
      <c r="F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D963" s="7"/>
      <c r="E963" s="7"/>
      <c r="F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D964" s="7"/>
      <c r="E964" s="7"/>
      <c r="F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D965" s="7"/>
      <c r="E965" s="7"/>
      <c r="F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D966" s="7"/>
      <c r="E966" s="7"/>
      <c r="F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D967" s="7"/>
      <c r="E967" s="7"/>
      <c r="F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D968" s="7"/>
      <c r="E968" s="7"/>
      <c r="F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D969" s="7"/>
      <c r="E969" s="7"/>
      <c r="F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D970" s="7"/>
      <c r="E970" s="7"/>
      <c r="F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D971" s="7"/>
      <c r="E971" s="7"/>
      <c r="F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D972" s="7"/>
      <c r="E972" s="7"/>
      <c r="F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D973" s="7"/>
      <c r="E973" s="7"/>
      <c r="F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D974" s="7"/>
      <c r="E974" s="7"/>
      <c r="F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D975" s="7"/>
      <c r="E975" s="7"/>
      <c r="F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D976" s="7"/>
      <c r="E976" s="7"/>
      <c r="F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D977" s="7"/>
      <c r="E977" s="7"/>
      <c r="F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D978" s="7"/>
      <c r="E978" s="7"/>
      <c r="F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D979" s="7"/>
      <c r="E979" s="7"/>
      <c r="F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D980" s="7"/>
      <c r="E980" s="7"/>
      <c r="F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D981" s="7"/>
      <c r="E981" s="7"/>
      <c r="F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D982" s="7"/>
      <c r="E982" s="7"/>
      <c r="F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D983" s="7"/>
      <c r="E983" s="7"/>
      <c r="F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D984" s="7"/>
      <c r="E984" s="7"/>
      <c r="F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D985" s="7"/>
      <c r="E985" s="7"/>
      <c r="F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D986" s="7"/>
      <c r="E986" s="7"/>
      <c r="F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D987" s="7"/>
      <c r="E987" s="7"/>
      <c r="F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D988" s="7"/>
      <c r="E988" s="7"/>
      <c r="F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D989" s="7"/>
      <c r="E989" s="7"/>
      <c r="F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D990" s="7"/>
      <c r="E990" s="7"/>
      <c r="F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D991" s="7"/>
      <c r="E991" s="7"/>
      <c r="F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D992" s="7"/>
      <c r="E992" s="7"/>
      <c r="F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D993" s="7"/>
      <c r="E993" s="7"/>
      <c r="F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D994" s="7"/>
      <c r="E994" s="7"/>
      <c r="F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D995" s="7"/>
      <c r="E995" s="7"/>
      <c r="F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D996" s="7"/>
      <c r="E996" s="7"/>
      <c r="F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D997" s="7"/>
      <c r="E997" s="7"/>
      <c r="F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D998" s="7"/>
      <c r="E998" s="7"/>
      <c r="F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D999" s="7"/>
      <c r="E999" s="7"/>
      <c r="F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D1000" s="7"/>
      <c r="E1000" s="7"/>
      <c r="F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>
        <v>2020.0</v>
      </c>
      <c r="B2" s="4">
        <v>325.77279</v>
      </c>
      <c r="C2" s="4">
        <v>578.700663</v>
      </c>
      <c r="D2" s="4">
        <v>800.402583</v>
      </c>
      <c r="E2" s="4">
        <v>691.715273</v>
      </c>
      <c r="F2" s="4">
        <v>1262.24639</v>
      </c>
      <c r="G2" s="4">
        <v>1713.76757</v>
      </c>
      <c r="H2" s="4">
        <v>1129.87712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>
        <v>2030.0</v>
      </c>
      <c r="B3" s="4">
        <v>288.916312</v>
      </c>
      <c r="C3" s="4">
        <v>524.108031</v>
      </c>
      <c r="D3" s="4">
        <v>756.507948</v>
      </c>
      <c r="E3" s="4">
        <v>515.931442</v>
      </c>
      <c r="F3" s="4">
        <v>978.303711</v>
      </c>
      <c r="G3" s="4">
        <v>1516.60536</v>
      </c>
      <c r="H3" s="4">
        <v>756.436756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>
        <v>2040.0</v>
      </c>
      <c r="B4" s="4">
        <v>243.449823</v>
      </c>
      <c r="C4" s="4">
        <v>441.62084</v>
      </c>
      <c r="D4" s="4">
        <v>651.944408</v>
      </c>
      <c r="E4" s="4">
        <v>365.394416</v>
      </c>
      <c r="F4" s="4">
        <v>728.238021</v>
      </c>
      <c r="G4" s="4">
        <v>1333.35523</v>
      </c>
      <c r="H4" s="4">
        <v>585.136002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>
        <v>2050.0</v>
      </c>
      <c r="B5" s="4">
        <v>216.376382</v>
      </c>
      <c r="C5" s="4">
        <v>408.658809</v>
      </c>
      <c r="D5" s="4">
        <v>611.94422</v>
      </c>
      <c r="E5" s="4">
        <v>332.196047</v>
      </c>
      <c r="F5" s="4">
        <v>577.809163</v>
      </c>
      <c r="G5" s="4">
        <v>1174.03483</v>
      </c>
      <c r="H5" s="4">
        <v>398.333239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6" t="s">
        <v>26</v>
      </c>
      <c r="C1" s="6" t="s">
        <v>27</v>
      </c>
      <c r="D1" s="6" t="s">
        <v>28</v>
      </c>
      <c r="E1" s="6" t="s">
        <v>29</v>
      </c>
    </row>
    <row r="2">
      <c r="A2" s="3">
        <v>2020.0</v>
      </c>
      <c r="B2" s="4">
        <v>75.0221089</v>
      </c>
      <c r="C2" s="4">
        <v>180.117036</v>
      </c>
      <c r="D2" s="4">
        <v>206.158507</v>
      </c>
      <c r="E2" s="6">
        <v>215.0</v>
      </c>
    </row>
    <row r="3">
      <c r="A3" s="3">
        <v>2030.0</v>
      </c>
      <c r="B3" s="4">
        <v>35.2425394</v>
      </c>
      <c r="C3" s="4">
        <v>110.158808</v>
      </c>
      <c r="D3" s="4">
        <v>125.458642</v>
      </c>
      <c r="E3" s="4">
        <v>80.1259737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>
        <v>2040.0</v>
      </c>
      <c r="B4" s="4">
        <v>30.2680352</v>
      </c>
      <c r="C4" s="4">
        <v>70.6285515</v>
      </c>
      <c r="D4" s="4">
        <v>93.127893</v>
      </c>
      <c r="E4" s="4">
        <v>70.6285515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>
        <v>2050.0</v>
      </c>
      <c r="B5" s="4">
        <v>30.0963384</v>
      </c>
      <c r="C5" s="4">
        <v>60.846536</v>
      </c>
      <c r="D5" s="3">
        <v>69.0</v>
      </c>
      <c r="E5" s="4">
        <v>60.846536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30</v>
      </c>
      <c r="C1" s="6" t="s">
        <v>31</v>
      </c>
      <c r="D1" s="6" t="s">
        <v>32</v>
      </c>
    </row>
    <row r="2">
      <c r="A2" s="16">
        <v>2020.0</v>
      </c>
      <c r="B2" s="16">
        <v>215.566708</v>
      </c>
      <c r="C2" s="16">
        <v>215.566708</v>
      </c>
      <c r="D2" s="16">
        <v>215.566708</v>
      </c>
    </row>
    <row r="3">
      <c r="A3" s="16">
        <v>2025.0</v>
      </c>
      <c r="B3" s="16">
        <v>95.3065179</v>
      </c>
      <c r="C3" s="16">
        <v>129.201276</v>
      </c>
      <c r="D3" s="16">
        <v>161.875511</v>
      </c>
    </row>
    <row r="4">
      <c r="A4" s="16">
        <v>2030.0</v>
      </c>
      <c r="B4" s="16">
        <v>39.8178953</v>
      </c>
      <c r="C4" s="16">
        <v>82.3793353</v>
      </c>
      <c r="D4" s="16">
        <v>126.65911</v>
      </c>
    </row>
    <row r="5">
      <c r="A5" s="16">
        <v>2035.0</v>
      </c>
      <c r="B5" s="16">
        <v>33.5490607</v>
      </c>
      <c r="C5" s="16">
        <v>68.1563773</v>
      </c>
      <c r="D5" s="16">
        <v>104.426331</v>
      </c>
    </row>
    <row r="6">
      <c r="A6" s="16">
        <v>2040.0</v>
      </c>
      <c r="B6" s="16">
        <v>31.0892039</v>
      </c>
      <c r="C6" s="16">
        <v>58.5756347</v>
      </c>
      <c r="D6" s="16">
        <v>87.430743</v>
      </c>
    </row>
    <row r="7">
      <c r="A7" s="16">
        <v>2045.0</v>
      </c>
      <c r="B7" s="16">
        <v>30.9175313</v>
      </c>
      <c r="C7" s="16">
        <v>52.1085159</v>
      </c>
      <c r="D7" s="16">
        <v>75.277263</v>
      </c>
    </row>
    <row r="8">
      <c r="A8" s="16">
        <v>2050.0</v>
      </c>
      <c r="B8" s="16">
        <v>30.07563</v>
      </c>
      <c r="C8" s="16">
        <v>50.8268505</v>
      </c>
      <c r="D8" s="16">
        <v>69.376899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30</v>
      </c>
      <c r="C1" s="6" t="s">
        <v>31</v>
      </c>
      <c r="D1" s="6" t="s">
        <v>32</v>
      </c>
    </row>
    <row r="2">
      <c r="A2" s="16">
        <v>2020.0</v>
      </c>
      <c r="B2" s="16">
        <v>1195.45301</v>
      </c>
      <c r="C2" s="16">
        <v>1195.45301</v>
      </c>
      <c r="D2" s="16">
        <v>1195.45301</v>
      </c>
      <c r="E2" s="5"/>
    </row>
    <row r="3">
      <c r="A3" s="16">
        <v>2025.0</v>
      </c>
      <c r="B3" s="16">
        <v>856.049501</v>
      </c>
      <c r="C3" s="16">
        <v>915.670632</v>
      </c>
      <c r="D3" s="16">
        <v>1016.54263</v>
      </c>
      <c r="E3" s="5"/>
    </row>
    <row r="4">
      <c r="A4" s="16">
        <v>2030.0</v>
      </c>
      <c r="B4" s="16">
        <v>625.669504</v>
      </c>
      <c r="C4" s="16">
        <v>722.594952</v>
      </c>
      <c r="D4" s="16">
        <v>880.269117</v>
      </c>
      <c r="E4" s="5"/>
    </row>
    <row r="5">
      <c r="A5" s="16">
        <v>2035.0</v>
      </c>
      <c r="B5" s="16">
        <v>501.803105</v>
      </c>
      <c r="C5" s="16">
        <v>589.4223</v>
      </c>
      <c r="D5" s="16">
        <v>760.557028</v>
      </c>
      <c r="E5" s="5"/>
    </row>
    <row r="6">
      <c r="A6" s="16">
        <v>2040.0</v>
      </c>
      <c r="B6" s="16">
        <v>392.235628</v>
      </c>
      <c r="C6" s="16">
        <v>479.224221</v>
      </c>
      <c r="D6" s="16">
        <v>665.67533</v>
      </c>
      <c r="E6" s="5"/>
    </row>
    <row r="7">
      <c r="A7" s="16">
        <v>2045.0</v>
      </c>
      <c r="B7" s="16">
        <v>322.842082</v>
      </c>
      <c r="C7" s="16">
        <v>408.515157</v>
      </c>
      <c r="D7" s="16">
        <v>586.039541</v>
      </c>
      <c r="E7" s="5"/>
    </row>
    <row r="8">
      <c r="A8" s="16">
        <v>2050.0</v>
      </c>
      <c r="B8" s="16">
        <v>302.94488</v>
      </c>
      <c r="C8" s="16">
        <v>371.163857</v>
      </c>
      <c r="D8" s="16">
        <v>531.492549</v>
      </c>
      <c r="E8" s="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8.0"/>
    <col customWidth="1" min="3" max="3" width="15.88"/>
    <col customWidth="1" min="4" max="4" width="17.63"/>
    <col customWidth="1" min="5" max="5" width="16.5"/>
    <col customWidth="1" min="6" max="6" width="9.88"/>
    <col customWidth="1" min="7" max="7" width="10.13"/>
    <col customWidth="1" min="8" max="8" width="10.5"/>
    <col customWidth="1" min="9" max="9" width="7.5"/>
    <col customWidth="1" min="10" max="10" width="7.75"/>
    <col customWidth="1" min="11" max="11" width="8.25"/>
  </cols>
  <sheetData>
    <row r="1">
      <c r="A1" s="8" t="s">
        <v>0</v>
      </c>
      <c r="B1" s="6" t="s">
        <v>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7</v>
      </c>
      <c r="J1" s="6" t="s">
        <v>8</v>
      </c>
      <c r="K1" s="6" t="s">
        <v>9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>
        <v>2020.0</v>
      </c>
      <c r="B2" s="4">
        <v>128.647206</v>
      </c>
      <c r="C2" s="4">
        <v>452.302385</v>
      </c>
      <c r="D2" s="4">
        <v>452.302385</v>
      </c>
      <c r="E2" s="4">
        <v>452.302385</v>
      </c>
      <c r="F2" s="4">
        <v>556.087084</v>
      </c>
      <c r="G2" s="4">
        <v>556.087084</v>
      </c>
      <c r="H2" s="4">
        <v>556.087084</v>
      </c>
      <c r="I2" s="4">
        <v>806.664714</v>
      </c>
      <c r="J2" s="4">
        <v>806.664714</v>
      </c>
      <c r="K2" s="4">
        <v>806.664714</v>
      </c>
      <c r="L2" s="9"/>
      <c r="M2" s="9"/>
      <c r="N2" s="9"/>
      <c r="O2" s="9"/>
      <c r="P2" s="9"/>
      <c r="Q2" s="4"/>
      <c r="R2" s="9"/>
      <c r="S2" s="4"/>
      <c r="T2" s="9"/>
      <c r="U2" s="9"/>
      <c r="V2" s="9"/>
      <c r="W2" s="9"/>
      <c r="X2" s="9"/>
      <c r="Y2" s="9"/>
      <c r="Z2" s="9"/>
    </row>
    <row r="3">
      <c r="A3" s="3">
        <v>2030.0</v>
      </c>
      <c r="B3" s="4">
        <v>90.299066</v>
      </c>
      <c r="C3" s="4">
        <v>263.46448</v>
      </c>
      <c r="D3" s="4">
        <v>357.356243</v>
      </c>
      <c r="E3" s="4">
        <v>434.130626</v>
      </c>
      <c r="F3" s="4">
        <v>317.003482</v>
      </c>
      <c r="G3" s="4">
        <v>460.203716</v>
      </c>
      <c r="H3" s="4">
        <v>534.79124</v>
      </c>
      <c r="I3" s="4">
        <v>460.203716</v>
      </c>
      <c r="J3" s="4">
        <v>639.070585</v>
      </c>
      <c r="K3" s="4">
        <v>769.084578</v>
      </c>
      <c r="L3" s="9"/>
      <c r="M3" s="9"/>
      <c r="N3" s="9"/>
      <c r="O3" s="9"/>
      <c r="P3" s="9"/>
      <c r="Q3" s="4"/>
      <c r="R3" s="9"/>
      <c r="S3" s="4"/>
      <c r="T3" s="9"/>
      <c r="U3" s="9"/>
      <c r="V3" s="9"/>
      <c r="W3" s="9"/>
      <c r="X3" s="9"/>
      <c r="Y3" s="9"/>
      <c r="Z3" s="9"/>
    </row>
    <row r="4">
      <c r="A4" s="3">
        <v>2040.0</v>
      </c>
      <c r="B4" s="4">
        <v>75.4987146</v>
      </c>
      <c r="C4" s="4">
        <v>219.375834</v>
      </c>
      <c r="D4" s="4">
        <v>312.070032</v>
      </c>
      <c r="E4" s="4">
        <v>404.048293</v>
      </c>
      <c r="F4" s="4">
        <v>269.309122</v>
      </c>
      <c r="G4" s="4">
        <v>382.817534</v>
      </c>
      <c r="H4" s="4">
        <v>497.380325</v>
      </c>
      <c r="I4" s="4">
        <v>382.817534</v>
      </c>
      <c r="J4" s="4">
        <v>551.153633</v>
      </c>
      <c r="K4" s="4">
        <v>717.029516</v>
      </c>
      <c r="L4" s="9"/>
      <c r="M4" s="9"/>
      <c r="N4" s="9"/>
      <c r="O4" s="9"/>
      <c r="P4" s="9"/>
      <c r="Q4" s="4"/>
      <c r="R4" s="9"/>
      <c r="S4" s="4"/>
      <c r="T4" s="9"/>
      <c r="U4" s="9"/>
      <c r="V4" s="9"/>
      <c r="W4" s="9"/>
      <c r="X4" s="9"/>
      <c r="Y4" s="9"/>
      <c r="Z4" s="9"/>
    </row>
    <row r="5">
      <c r="A5" s="3">
        <v>2050.0</v>
      </c>
      <c r="B5" s="4">
        <v>61.1799928</v>
      </c>
      <c r="C5" s="4">
        <v>163.467734</v>
      </c>
      <c r="D5" s="4">
        <v>264.323603</v>
      </c>
      <c r="E5" s="4">
        <v>372.508054</v>
      </c>
      <c r="F5" s="4">
        <v>211.930099</v>
      </c>
      <c r="G5" s="4">
        <v>322.587784</v>
      </c>
      <c r="H5" s="4">
        <v>461.310163</v>
      </c>
      <c r="I5" s="4">
        <v>295.590485</v>
      </c>
      <c r="J5" s="4">
        <v>461.310163</v>
      </c>
      <c r="K5" s="4">
        <v>660.952195</v>
      </c>
      <c r="L5" s="9"/>
      <c r="M5" s="9"/>
      <c r="N5" s="9"/>
      <c r="O5" s="9"/>
      <c r="P5" s="9"/>
      <c r="Q5" s="4"/>
      <c r="R5" s="9"/>
      <c r="S5" s="4"/>
      <c r="T5" s="9"/>
      <c r="U5" s="9"/>
      <c r="V5" s="9"/>
      <c r="W5" s="9"/>
      <c r="X5" s="9"/>
      <c r="Y5" s="9"/>
      <c r="Z5" s="9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6" t="s">
        <v>1</v>
      </c>
      <c r="C1" s="6" t="s">
        <v>3</v>
      </c>
      <c r="D1" s="6" t="s">
        <v>7</v>
      </c>
      <c r="E1" s="6" t="s">
        <v>8</v>
      </c>
      <c r="F1" s="6" t="s">
        <v>9</v>
      </c>
      <c r="G1" s="6" t="s">
        <v>36</v>
      </c>
      <c r="H1" s="6" t="s">
        <v>37</v>
      </c>
      <c r="I1" s="6" t="s">
        <v>38</v>
      </c>
      <c r="J1" s="6" t="s">
        <v>33</v>
      </c>
      <c r="K1" s="6" t="s">
        <v>34</v>
      </c>
      <c r="L1" s="6" t="s">
        <v>35</v>
      </c>
    </row>
    <row r="2">
      <c r="A2" s="3">
        <v>2020.0</v>
      </c>
      <c r="B2" s="4">
        <v>300.824015</v>
      </c>
      <c r="C2" s="4">
        <v>447.36899</v>
      </c>
      <c r="D2" s="4">
        <v>475.048122</v>
      </c>
      <c r="E2" s="4">
        <v>475.048122</v>
      </c>
      <c r="F2" s="4">
        <v>475.048122</v>
      </c>
      <c r="G2" s="4">
        <v>321.716374</v>
      </c>
      <c r="H2" s="4">
        <v>321.716374</v>
      </c>
      <c r="I2" s="4">
        <v>321.716374</v>
      </c>
      <c r="J2" s="4">
        <v>262.607868</v>
      </c>
      <c r="K2" s="4">
        <v>262.607868</v>
      </c>
      <c r="L2" s="4">
        <v>262.607868</v>
      </c>
    </row>
    <row r="3">
      <c r="A3" s="3">
        <v>2030.0</v>
      </c>
      <c r="B3" s="4">
        <v>236.187469</v>
      </c>
      <c r="C3" s="4">
        <v>382.537794</v>
      </c>
      <c r="D3" s="4">
        <v>236.187469</v>
      </c>
      <c r="E3" s="4">
        <v>302.42014</v>
      </c>
      <c r="F3" s="4">
        <v>382.537794</v>
      </c>
      <c r="G3" s="4">
        <v>157.575102</v>
      </c>
      <c r="H3" s="4">
        <v>212.102861</v>
      </c>
      <c r="I3" s="4">
        <v>262.685728</v>
      </c>
      <c r="J3" s="4">
        <v>130.09062</v>
      </c>
      <c r="K3" s="4">
        <v>169.863962</v>
      </c>
      <c r="L3" s="4">
        <v>211.557843</v>
      </c>
    </row>
    <row r="4">
      <c r="A4" s="3">
        <v>2040.0</v>
      </c>
      <c r="B4" s="4">
        <v>161.182603</v>
      </c>
      <c r="C4" s="4">
        <v>298.332504</v>
      </c>
      <c r="D4" s="4">
        <v>182.814629</v>
      </c>
      <c r="E4" s="4">
        <v>237.913359</v>
      </c>
      <c r="F4" s="4">
        <v>328.56803</v>
      </c>
      <c r="G4" s="4">
        <v>121.655817</v>
      </c>
      <c r="H4" s="4">
        <v>158.094167</v>
      </c>
      <c r="I4" s="4">
        <v>221.952116</v>
      </c>
      <c r="J4" s="4">
        <v>98.7001752</v>
      </c>
      <c r="K4" s="4">
        <v>133.282869</v>
      </c>
      <c r="L4" s="4">
        <v>180.426931</v>
      </c>
    </row>
    <row r="5">
      <c r="A5" s="3">
        <v>2050.0</v>
      </c>
      <c r="B5" s="4">
        <v>131.115773</v>
      </c>
      <c r="C5" s="4">
        <v>282.007916</v>
      </c>
      <c r="D5" s="4">
        <v>131.115773</v>
      </c>
      <c r="E5" s="4">
        <v>198.672059</v>
      </c>
      <c r="F5" s="4">
        <v>282.007916</v>
      </c>
      <c r="G5" s="4">
        <v>88.8638969</v>
      </c>
      <c r="H5" s="4">
        <v>118.567381</v>
      </c>
      <c r="I5" s="4">
        <v>195.648507</v>
      </c>
      <c r="J5" s="4">
        <v>72.2019162</v>
      </c>
      <c r="K5" s="4">
        <v>93.2110647</v>
      </c>
      <c r="L5" s="4">
        <v>153.695093</v>
      </c>
    </row>
    <row r="6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16">
      <c r="M16" s="17"/>
      <c r="N16" s="18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M17" s="17"/>
      <c r="N17" s="18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M18" s="17"/>
      <c r="N18" s="18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M19" s="17"/>
      <c r="N19" s="18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6" t="s">
        <v>2</v>
      </c>
      <c r="C1" s="6" t="s">
        <v>39</v>
      </c>
      <c r="D1" s="6" t="s">
        <v>40</v>
      </c>
      <c r="E1" s="6" t="s">
        <v>41</v>
      </c>
      <c r="F1" s="6" t="s">
        <v>42</v>
      </c>
    </row>
    <row r="2">
      <c r="A2" s="3">
        <v>2020.0</v>
      </c>
      <c r="B2" s="4">
        <v>646.073865</v>
      </c>
      <c r="C2" s="4">
        <v>1207.14827</v>
      </c>
      <c r="D2" s="4">
        <v>1656.87209</v>
      </c>
      <c r="E2" s="4">
        <v>1830.51013</v>
      </c>
      <c r="F2" s="4">
        <v>2104.80884</v>
      </c>
    </row>
    <row r="3">
      <c r="A3" s="3">
        <v>2030.0</v>
      </c>
      <c r="B3" s="4">
        <v>646.073865</v>
      </c>
      <c r="C3" s="4">
        <v>1207.14827</v>
      </c>
      <c r="D3" s="4">
        <v>1656.87209</v>
      </c>
      <c r="E3" s="4">
        <v>1830.51013</v>
      </c>
      <c r="F3" s="4">
        <v>2104.80884</v>
      </c>
    </row>
    <row r="4">
      <c r="A4" s="3">
        <v>2040.0</v>
      </c>
      <c r="B4" s="4">
        <v>646.073865</v>
      </c>
      <c r="C4" s="4">
        <v>1207.14827</v>
      </c>
      <c r="D4" s="4">
        <v>1656.87209</v>
      </c>
      <c r="E4" s="4">
        <v>1830.51013</v>
      </c>
      <c r="F4" s="4">
        <v>2104.80884</v>
      </c>
    </row>
    <row r="5">
      <c r="A5" s="3">
        <v>2050.0</v>
      </c>
      <c r="B5" s="4">
        <v>646.073865</v>
      </c>
      <c r="C5" s="4">
        <v>1207.14827</v>
      </c>
      <c r="D5" s="4">
        <v>1656.87209</v>
      </c>
      <c r="E5" s="4">
        <v>1830.51013</v>
      </c>
      <c r="F5" s="4">
        <v>2104.80884</v>
      </c>
    </row>
    <row r="8">
      <c r="I8" s="5"/>
    </row>
    <row r="9">
      <c r="I9" s="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6" t="s">
        <v>39</v>
      </c>
      <c r="C1" s="6" t="s">
        <v>40</v>
      </c>
      <c r="D1" s="6" t="s">
        <v>41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>
        <v>2020.0</v>
      </c>
      <c r="B2" s="4">
        <v>119.77307</v>
      </c>
      <c r="C2" s="4">
        <v>165.245868</v>
      </c>
      <c r="D2" s="4">
        <v>182.30088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>
        <v>2030.0</v>
      </c>
      <c r="B3" s="4">
        <v>119.77307</v>
      </c>
      <c r="C3" s="4">
        <v>165.245868</v>
      </c>
      <c r="D3" s="4">
        <v>182.30088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>
        <v>2040.0</v>
      </c>
      <c r="B4" s="4">
        <v>119.77307</v>
      </c>
      <c r="C4" s="4">
        <v>165.245868</v>
      </c>
      <c r="D4" s="4">
        <v>182.30088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>
        <v>2050.0</v>
      </c>
      <c r="B5" s="4">
        <v>119.77307</v>
      </c>
      <c r="C5" s="4">
        <v>165.245868</v>
      </c>
      <c r="D5" s="4">
        <v>182.30088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